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yeF\Documents\PlayerCards\data\queries\"/>
    </mc:Choice>
  </mc:AlternateContent>
  <xr:revisionPtr revIDLastSave="0" documentId="13_ncr:1_{5FA43CDD-85B6-40C7-8DD9-5DE134BC5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L2" i="1"/>
  <c r="K2" i="1"/>
</calcChain>
</file>

<file path=xl/sharedStrings.xml><?xml version="1.0" encoding="utf-8"?>
<sst xmlns="http://schemas.openxmlformats.org/spreadsheetml/2006/main" count="339" uniqueCount="200">
  <si>
    <t>player_name</t>
  </si>
  <si>
    <t>league</t>
  </si>
  <si>
    <t>team</t>
  </si>
  <si>
    <t>age</t>
  </si>
  <si>
    <t>minutes_played</t>
  </si>
  <si>
    <t>shots_total_per90</t>
  </si>
  <si>
    <t>progressive_carries_per90</t>
  </si>
  <si>
    <t>passes_opposition_half_total_per90</t>
  </si>
  <si>
    <t>xg_per90</t>
  </si>
  <si>
    <t>xa_per90</t>
  </si>
  <si>
    <t>Ibrahim Maza</t>
  </si>
  <si>
    <t>Bundesliga</t>
  </si>
  <si>
    <t>Bayer 04 Leverkusen</t>
  </si>
  <si>
    <t>Luis Díaz</t>
  </si>
  <si>
    <t>FC Bayern München</t>
  </si>
  <si>
    <t>Michael Olise</t>
  </si>
  <si>
    <t>Fábio Vieira</t>
  </si>
  <si>
    <t>Hamburger SV</t>
  </si>
  <si>
    <t>Yan Diomande</t>
  </si>
  <si>
    <t>RB Leipzig</t>
  </si>
  <si>
    <t>Antonio Nusa</t>
  </si>
  <si>
    <t>Johan Manzambi</t>
  </si>
  <si>
    <t>SC Freiburg</t>
  </si>
  <si>
    <t>Bazoumana Touré</t>
  </si>
  <si>
    <t>TSG Hoffenheim</t>
  </si>
  <si>
    <t>Chris Führich</t>
  </si>
  <si>
    <t>VfB Stuttgart</t>
  </si>
  <si>
    <t>Nico Williams</t>
  </si>
  <si>
    <t>La Liga</t>
  </si>
  <si>
    <t>Athletic Club</t>
  </si>
  <si>
    <t>Javier Rueda</t>
  </si>
  <si>
    <t>Celta Vigo</t>
  </si>
  <si>
    <t>Martim Neto</t>
  </si>
  <si>
    <t>Elche</t>
  </si>
  <si>
    <t>Lamine Yamal</t>
  </si>
  <si>
    <t>FC Barcelona</t>
  </si>
  <si>
    <t>Pedri</t>
  </si>
  <si>
    <t>Fermín López</t>
  </si>
  <si>
    <t>Marcus Rashford</t>
  </si>
  <si>
    <t>Raphinha</t>
  </si>
  <si>
    <t>Azzedine Ounahi</t>
  </si>
  <si>
    <t>Girona FC</t>
  </si>
  <si>
    <t>Bryan Gil</t>
  </si>
  <si>
    <t>Vinicius Júnior</t>
  </si>
  <si>
    <t>Real Madrid</t>
  </si>
  <si>
    <t>Kylian Mbappé</t>
  </si>
  <si>
    <t>Ander Barrenetxea</t>
  </si>
  <si>
    <t>Real Sociedad</t>
  </si>
  <si>
    <t>Takefusa Kubo</t>
  </si>
  <si>
    <t>Nicolas Pépé</t>
  </si>
  <si>
    <t>Villarreal</t>
  </si>
  <si>
    <t>Amar Dedić</t>
  </si>
  <si>
    <t>Liga Portugal Betclic</t>
  </si>
  <si>
    <t>Benfica</t>
  </si>
  <si>
    <t>Andreas Schjelderup</t>
  </si>
  <si>
    <t>Gianluca Prestianni</t>
  </si>
  <si>
    <t>Georgiy Sudakov</t>
  </si>
  <si>
    <t>Abraham Marcus</t>
  </si>
  <si>
    <t>CF Estrela Amadora</t>
  </si>
  <si>
    <t>Rafik Guitane</t>
  </si>
  <si>
    <t>Estoril Praia</t>
  </si>
  <si>
    <t>Figueiredo</t>
  </si>
  <si>
    <t>FC Alverca</t>
  </si>
  <si>
    <t>Rodrigo Zalazar</t>
  </si>
  <si>
    <t>Sporting Braga</t>
  </si>
  <si>
    <t>Francisco Trincão</t>
  </si>
  <si>
    <t>Sporting CP</t>
  </si>
  <si>
    <t>Geny Catamo</t>
  </si>
  <si>
    <t>Matías Fernández</t>
  </si>
  <si>
    <t>Ligue 1</t>
  </si>
  <si>
    <t>Lille</t>
  </si>
  <si>
    <t>Georgiy Tsitaishvili</t>
  </si>
  <si>
    <t>Metz</t>
  </si>
  <si>
    <t>Sofiane Diop</t>
  </si>
  <si>
    <t>Nice</t>
  </si>
  <si>
    <t>Mason Greenwood</t>
  </si>
  <si>
    <t>Olympique de Marseille</t>
  </si>
  <si>
    <t>Bradley Barcola</t>
  </si>
  <si>
    <t>Paris Saint-Germain</t>
  </si>
  <si>
    <t>Kang-in Lee</t>
  </si>
  <si>
    <t>Khvicha Kvaratskhelia</t>
  </si>
  <si>
    <t>Désiré Doué</t>
  </si>
  <si>
    <t>Florian Thauvin</t>
  </si>
  <si>
    <t>RC Lens</t>
  </si>
  <si>
    <t>Diego Moreira</t>
  </si>
  <si>
    <t>RC Strasbourg</t>
  </si>
  <si>
    <t>Julio Enciso</t>
  </si>
  <si>
    <t>Mousa Tamari</t>
  </si>
  <si>
    <t>Stade Rennais</t>
  </si>
  <si>
    <t>Ludovic Blas</t>
  </si>
  <si>
    <t>Yann Gboho</t>
  </si>
  <si>
    <t>Toulouse</t>
  </si>
  <si>
    <t>Nilson Angulo</t>
  </si>
  <si>
    <t>Premier League</t>
  </si>
  <si>
    <t>Sunderland</t>
  </si>
  <si>
    <t>Xavi Simons</t>
  </si>
  <si>
    <t>Tottenham Hotspur</t>
  </si>
  <si>
    <t>Ernest Poku</t>
  </si>
  <si>
    <t>Simon Adingra</t>
  </si>
  <si>
    <t>AS Monaco</t>
  </si>
  <si>
    <t>Brajan Gruda</t>
  </si>
  <si>
    <t>Ademola Lookman</t>
  </si>
  <si>
    <t>Atlético Madrid</t>
  </si>
  <si>
    <t>Younes Namli</t>
  </si>
  <si>
    <t>VriendenLoterij Eredivisie</t>
  </si>
  <si>
    <t>PEC Zwolle</t>
  </si>
  <si>
    <t>Bukayo Saka</t>
  </si>
  <si>
    <t>Arsenal</t>
  </si>
  <si>
    <t>Yankuba Minteh</t>
  </si>
  <si>
    <t>Brighton &amp; Hove Albion</t>
  </si>
  <si>
    <t>Pedro Neto</t>
  </si>
  <si>
    <t>Chelsea</t>
  </si>
  <si>
    <t>Rayan Cherki</t>
  </si>
  <si>
    <t>Manchester City</t>
  </si>
  <si>
    <t>Jérémy Doku</t>
  </si>
  <si>
    <t>Amad Diallo</t>
  </si>
  <si>
    <t>Manchester United</t>
  </si>
  <si>
    <t>Florian Wirtz</t>
  </si>
  <si>
    <t>Liverpool FC</t>
  </si>
  <si>
    <t>Anthony Gordon</t>
  </si>
  <si>
    <t>Newcastle United</t>
  </si>
  <si>
    <t>Omari Hutchinson</t>
  </si>
  <si>
    <t>Nottingham Forest</t>
  </si>
  <si>
    <t>Mathys Tel</t>
  </si>
  <si>
    <t>Edan Diop</t>
  </si>
  <si>
    <t>Pro League</t>
  </si>
  <si>
    <t>Cercle Brugge</t>
  </si>
  <si>
    <t>Carlos Forbs</t>
  </si>
  <si>
    <t>Club Brugge KV</t>
  </si>
  <si>
    <t>Hyllarion Goore</t>
  </si>
  <si>
    <t>KAA Gent</t>
  </si>
  <si>
    <t>Konstantinos Karetsas</t>
  </si>
  <si>
    <t>KRC Genk</t>
  </si>
  <si>
    <t>Junya Ito</t>
  </si>
  <si>
    <t>Myron Van Brederode</t>
  </si>
  <si>
    <t>KV Mechelen</t>
  </si>
  <si>
    <t>Allahyar Sayyadmanesh</t>
  </si>
  <si>
    <t>KVC Westerlo</t>
  </si>
  <si>
    <t>Parfait Guiagon</t>
  </si>
  <si>
    <t>RC Sporting Charleroi</t>
  </si>
  <si>
    <t>Anan Khalaili</t>
  </si>
  <si>
    <t>Royale Union Saint-Gilloise</t>
  </si>
  <si>
    <t>Adnane Abid</t>
  </si>
  <si>
    <t>Standard Liège</t>
  </si>
  <si>
    <t>Charles De Ketelaere</t>
  </si>
  <si>
    <t>Serie A</t>
  </si>
  <si>
    <t>Atalanta</t>
  </si>
  <si>
    <t>Nicola Zalewski</t>
  </si>
  <si>
    <t>Jesús Rodriguez</t>
  </si>
  <si>
    <t>Como</t>
  </si>
  <si>
    <t>Kenan Yıldız</t>
  </si>
  <si>
    <t>Juventus</t>
  </si>
  <si>
    <t>Francisco Conceição</t>
  </si>
  <si>
    <t>Alexis Saelemaekers</t>
  </si>
  <si>
    <t>AC Milan</t>
  </si>
  <si>
    <t>Matteo Politano</t>
  </si>
  <si>
    <t>SSC Napoli</t>
  </si>
  <si>
    <t>Matías Soulé</t>
  </si>
  <si>
    <t>AS Roma</t>
  </si>
  <si>
    <t>Christian Pulišić</t>
  </si>
  <si>
    <t>Mika Godts</t>
  </si>
  <si>
    <t>AFC Ajax</t>
  </si>
  <si>
    <t>Oscar Gloukh</t>
  </si>
  <si>
    <t>Isak Steiner Jensen</t>
  </si>
  <si>
    <t>AZ Alkmaar</t>
  </si>
  <si>
    <t>Weslley Patati</t>
  </si>
  <si>
    <t>Ro-Zangelo Daal</t>
  </si>
  <si>
    <t>Derensili Sanches Fernandes</t>
  </si>
  <si>
    <t>Excelsior</t>
  </si>
  <si>
    <t>Sondre Ørjasæter</t>
  </si>
  <si>
    <t>FC Twente</t>
  </si>
  <si>
    <t>Yoann Cathline</t>
  </si>
  <si>
    <t>FC Utrecht</t>
  </si>
  <si>
    <t>Miguel Rodríguez</t>
  </si>
  <si>
    <t>Luciano Valente</t>
  </si>
  <si>
    <t>Feyenoord</t>
  </si>
  <si>
    <t>Anis Hadj Moussa</t>
  </si>
  <si>
    <t>Jordan Bos</t>
  </si>
  <si>
    <t>Leo Sauer</t>
  </si>
  <si>
    <t>Mohamed Ihattaren</t>
  </si>
  <si>
    <t>Fortuna Sittard</t>
  </si>
  <si>
    <t>Jakob Breum</t>
  </si>
  <si>
    <t>Go Ahead Eagles</t>
  </si>
  <si>
    <t>Mitchell Van Bergen</t>
  </si>
  <si>
    <t>Sparta Rotterdam</t>
  </si>
  <si>
    <t>Mohamed Nassoh</t>
  </si>
  <si>
    <t>NAC Breda</t>
  </si>
  <si>
    <t>Kodai Sano</t>
  </si>
  <si>
    <t>NEC Nijmegen</t>
  </si>
  <si>
    <t>Sami Ouaissa</t>
  </si>
  <si>
    <t>Başar Önal</t>
  </si>
  <si>
    <t>Sergiño Dest</t>
  </si>
  <si>
    <t>PSV Eindhoven</t>
  </si>
  <si>
    <t>Ismael Saibari</t>
  </si>
  <si>
    <t>Dennis Man</t>
  </si>
  <si>
    <t>Ringo Meerveld</t>
  </si>
  <si>
    <t>SC Heerenveen</t>
  </si>
  <si>
    <t>Maxence Rivera</t>
  </si>
  <si>
    <t>direct_ratio</t>
  </si>
  <si>
    <t>xa_share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</si>
</sst>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topLeftCell="C1" workbookViewId="0">
      <selection activeCell="M12" sqref="M12"/>
    </sheetView>
  </sheetViews>
  <sheetFormatPr defaultRowHeight="14.4" x14ac:dyDescent="0.3"/>
  <cols>
    <col min="1" max="1" width="24.109375" bestFit="1" customWidth="1"/>
    <col min="2" max="2" width="21.88671875" bestFit="1" customWidth="1"/>
    <col min="3" max="3" width="23.21875" bestFit="1" customWidth="1"/>
    <col min="4" max="4" width="4" bestFit="1" customWidth="1"/>
    <col min="5" max="5" width="14.5546875" bestFit="1" customWidth="1"/>
    <col min="6" max="6" width="16.21875" bestFit="1" customWidth="1"/>
    <col min="7" max="7" width="23.109375" bestFit="1" customWidth="1"/>
    <col min="8" max="8" width="31.88671875" bestFit="1" customWidth="1"/>
    <col min="9" max="10" width="12" bestFit="1" customWidth="1"/>
    <col min="11" max="11" width="10.6640625" bestFit="1" customWidth="1"/>
    <col min="12" max="12" width="8.44140625" style="3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198</v>
      </c>
      <c r="L1" s="2" t="s">
        <v>199</v>
      </c>
    </row>
    <row r="2" spans="1:12" x14ac:dyDescent="0.3">
      <c r="A2" t="s">
        <v>10</v>
      </c>
      <c r="B2" t="s">
        <v>11</v>
      </c>
      <c r="C2" t="s">
        <v>12</v>
      </c>
      <c r="D2">
        <v>20</v>
      </c>
      <c r="E2">
        <v>1859</v>
      </c>
      <c r="F2">
        <v>2.6143087681549222</v>
      </c>
      <c r="G2">
        <v>1.93652501344809</v>
      </c>
      <c r="H2">
        <v>31.855836471221089</v>
      </c>
      <c r="I2">
        <v>0.25848735879505108</v>
      </c>
      <c r="J2">
        <v>0.21528073830016131</v>
      </c>
      <c r="K2">
        <f>(F2+G2)/H2</f>
        <v>0.14285714285714285</v>
      </c>
      <c r="L2" s="3">
        <f>(J2)/(I2+J2)</f>
        <v>0.45440108698770548</v>
      </c>
    </row>
    <row r="3" spans="1:12" x14ac:dyDescent="0.3">
      <c r="A3" t="s">
        <v>13</v>
      </c>
      <c r="B3" t="s">
        <v>11</v>
      </c>
      <c r="C3" t="s">
        <v>14</v>
      </c>
      <c r="D3">
        <v>29</v>
      </c>
      <c r="E3">
        <v>2450</v>
      </c>
      <c r="F3">
        <v>3.2326530612244899</v>
      </c>
      <c r="G3">
        <v>2.8653061224489802</v>
      </c>
      <c r="H3">
        <v>36.808163265306121</v>
      </c>
      <c r="I3">
        <v>0.5548628571428571</v>
      </c>
      <c r="J3">
        <v>0.28421471020408162</v>
      </c>
      <c r="K3">
        <f t="shared" ref="K3:K66" si="0">(F3+G3)/H3</f>
        <v>0.16566866267465075</v>
      </c>
      <c r="L3" s="3">
        <f t="shared" ref="L3:L66" si="1">(J3)/(I3+J3)</f>
        <v>0.33872280855122128</v>
      </c>
    </row>
    <row r="4" spans="1:12" x14ac:dyDescent="0.3">
      <c r="A4" t="s">
        <v>15</v>
      </c>
      <c r="B4" t="s">
        <v>11</v>
      </c>
      <c r="C4" t="s">
        <v>14</v>
      </c>
      <c r="D4">
        <v>24</v>
      </c>
      <c r="E4">
        <v>2317</v>
      </c>
      <c r="F4">
        <v>3.9231765213638319</v>
      </c>
      <c r="G4">
        <v>4.1173931808372899</v>
      </c>
      <c r="H4">
        <v>50.224428139835993</v>
      </c>
      <c r="I4">
        <v>0.44528441950798447</v>
      </c>
      <c r="J4">
        <v>0.66942008933966346</v>
      </c>
      <c r="K4">
        <f t="shared" si="0"/>
        <v>0.16009280742459397</v>
      </c>
      <c r="L4" s="3">
        <f t="shared" si="1"/>
        <v>0.60053591245602145</v>
      </c>
    </row>
    <row r="5" spans="1:12" x14ac:dyDescent="0.3">
      <c r="A5" t="s">
        <v>16</v>
      </c>
      <c r="B5" t="s">
        <v>11</v>
      </c>
      <c r="C5" t="s">
        <v>17</v>
      </c>
      <c r="D5">
        <v>25</v>
      </c>
      <c r="E5">
        <v>2215</v>
      </c>
      <c r="F5">
        <v>2.3972911963882622</v>
      </c>
      <c r="G5">
        <v>1.09706546275395</v>
      </c>
      <c r="H5">
        <v>21.90067720090293</v>
      </c>
      <c r="I5">
        <v>0.1888943566591422</v>
      </c>
      <c r="J5">
        <v>0.16557408203160259</v>
      </c>
      <c r="K5">
        <f t="shared" si="0"/>
        <v>0.15955473098330245</v>
      </c>
      <c r="L5" s="3">
        <f t="shared" si="1"/>
        <v>0.46710528768982262</v>
      </c>
    </row>
    <row r="6" spans="1:12" x14ac:dyDescent="0.3">
      <c r="A6" t="s">
        <v>18</v>
      </c>
      <c r="B6" t="s">
        <v>11</v>
      </c>
      <c r="C6" t="s">
        <v>19</v>
      </c>
      <c r="D6">
        <v>19</v>
      </c>
      <c r="E6">
        <v>2476</v>
      </c>
      <c r="F6">
        <v>1.926494345718901</v>
      </c>
      <c r="G6">
        <v>3.307754442649435</v>
      </c>
      <c r="H6">
        <v>27.879644588045231</v>
      </c>
      <c r="I6">
        <v>0.25965145395799671</v>
      </c>
      <c r="J6">
        <v>0.36785003699515351</v>
      </c>
      <c r="K6">
        <f t="shared" si="0"/>
        <v>0.18774445893089964</v>
      </c>
      <c r="L6" s="3">
        <f t="shared" si="1"/>
        <v>0.58621380554236402</v>
      </c>
    </row>
    <row r="7" spans="1:12" x14ac:dyDescent="0.3">
      <c r="A7" t="s">
        <v>20</v>
      </c>
      <c r="B7" t="s">
        <v>11</v>
      </c>
      <c r="C7" t="s">
        <v>19</v>
      </c>
      <c r="D7">
        <v>21</v>
      </c>
      <c r="E7">
        <v>2035</v>
      </c>
      <c r="F7">
        <v>2.697788697788698</v>
      </c>
      <c r="G7">
        <v>3.2727272727272729</v>
      </c>
      <c r="H7">
        <v>20.609336609336609</v>
      </c>
      <c r="I7">
        <v>0.1949882063882063</v>
      </c>
      <c r="J7">
        <v>0.2283173332186732</v>
      </c>
      <c r="K7">
        <f t="shared" si="0"/>
        <v>0.28969957081545067</v>
      </c>
      <c r="L7" s="3">
        <f t="shared" si="1"/>
        <v>0.53936769509491822</v>
      </c>
    </row>
    <row r="8" spans="1:12" x14ac:dyDescent="0.3">
      <c r="A8" t="s">
        <v>21</v>
      </c>
      <c r="B8" t="s">
        <v>11</v>
      </c>
      <c r="C8" t="s">
        <v>22</v>
      </c>
      <c r="D8">
        <v>20</v>
      </c>
      <c r="E8">
        <v>2094</v>
      </c>
      <c r="F8">
        <v>2.1919770773638971</v>
      </c>
      <c r="G8">
        <v>1.9340974212034381</v>
      </c>
      <c r="H8">
        <v>23.896848137535819</v>
      </c>
      <c r="I8">
        <v>0.16554154727793691</v>
      </c>
      <c r="J8">
        <v>0.22060046948424061</v>
      </c>
      <c r="K8">
        <f t="shared" si="0"/>
        <v>0.1726618705035971</v>
      </c>
      <c r="L8" s="3">
        <f t="shared" si="1"/>
        <v>0.57129361713596449</v>
      </c>
    </row>
    <row r="9" spans="1:12" x14ac:dyDescent="0.3">
      <c r="A9" t="s">
        <v>23</v>
      </c>
      <c r="B9" t="s">
        <v>11</v>
      </c>
      <c r="C9" t="s">
        <v>24</v>
      </c>
      <c r="D9">
        <v>20</v>
      </c>
      <c r="E9">
        <v>2325</v>
      </c>
      <c r="F9">
        <v>1.8580645161290319</v>
      </c>
      <c r="G9">
        <v>1.741935483870968</v>
      </c>
      <c r="H9">
        <v>19.08387096774193</v>
      </c>
      <c r="I9">
        <v>0.1609896774193548</v>
      </c>
      <c r="J9">
        <v>0.2224095832258064</v>
      </c>
      <c r="K9">
        <f t="shared" si="0"/>
        <v>0.18864097363083168</v>
      </c>
      <c r="L9" s="3">
        <f t="shared" si="1"/>
        <v>0.58009914482242075</v>
      </c>
    </row>
    <row r="10" spans="1:12" x14ac:dyDescent="0.3">
      <c r="A10" t="s">
        <v>25</v>
      </c>
      <c r="B10" t="s">
        <v>11</v>
      </c>
      <c r="C10" t="s">
        <v>26</v>
      </c>
      <c r="D10">
        <v>28</v>
      </c>
      <c r="E10">
        <v>1723</v>
      </c>
      <c r="F10">
        <v>2.3505513639001738</v>
      </c>
      <c r="G10">
        <v>5.0667440510737087</v>
      </c>
      <c r="H10">
        <v>34.997098084735917</v>
      </c>
      <c r="I10">
        <v>0.2226285548461984</v>
      </c>
      <c r="J10">
        <v>0.42047447724898429</v>
      </c>
      <c r="K10">
        <f t="shared" si="0"/>
        <v>0.21194029850746271</v>
      </c>
      <c r="L10" s="3">
        <f t="shared" si="1"/>
        <v>0.65382132607757915</v>
      </c>
    </row>
    <row r="11" spans="1:12" x14ac:dyDescent="0.3">
      <c r="A11" t="s">
        <v>27</v>
      </c>
      <c r="B11" t="s">
        <v>28</v>
      </c>
      <c r="C11" t="s">
        <v>29</v>
      </c>
      <c r="D11">
        <v>23</v>
      </c>
      <c r="E11">
        <v>1687</v>
      </c>
      <c r="F11">
        <v>2.4540604623592182</v>
      </c>
      <c r="G11">
        <v>2.9875518672199171</v>
      </c>
      <c r="H11">
        <v>22.29994072317724</v>
      </c>
      <c r="I11">
        <v>0.28664493183165379</v>
      </c>
      <c r="J11">
        <v>0.26541504629519858</v>
      </c>
      <c r="K11">
        <f t="shared" si="0"/>
        <v>0.24401913875598083</v>
      </c>
      <c r="L11" s="3">
        <f t="shared" si="1"/>
        <v>0.48077212044197759</v>
      </c>
    </row>
    <row r="12" spans="1:12" x14ac:dyDescent="0.3">
      <c r="A12" t="s">
        <v>30</v>
      </c>
      <c r="B12" t="s">
        <v>28</v>
      </c>
      <c r="C12" t="s">
        <v>31</v>
      </c>
      <c r="D12">
        <v>24</v>
      </c>
      <c r="E12">
        <v>1410</v>
      </c>
      <c r="F12">
        <v>0.7021276595744681</v>
      </c>
      <c r="G12">
        <v>0.57446808510638303</v>
      </c>
      <c r="H12">
        <v>21.446808510638299</v>
      </c>
      <c r="I12">
        <v>8.3214893617021196E-2</v>
      </c>
      <c r="J12">
        <v>0.18113328957446809</v>
      </c>
      <c r="K12">
        <f t="shared" si="0"/>
        <v>5.9523809523809527E-2</v>
      </c>
      <c r="L12" s="3">
        <f t="shared" si="1"/>
        <v>0.68520724215932383</v>
      </c>
    </row>
    <row r="13" spans="1:12" x14ac:dyDescent="0.3">
      <c r="A13" t="s">
        <v>32</v>
      </c>
      <c r="B13" t="s">
        <v>28</v>
      </c>
      <c r="C13" t="s">
        <v>33</v>
      </c>
      <c r="D13">
        <v>23</v>
      </c>
      <c r="E13">
        <v>1352</v>
      </c>
      <c r="F13">
        <v>0.79881656804733725</v>
      </c>
      <c r="G13">
        <v>1.331360946745562</v>
      </c>
      <c r="H13">
        <v>26.49408284023669</v>
      </c>
      <c r="I13">
        <v>5.5724112426035498E-2</v>
      </c>
      <c r="J13">
        <v>0.1775357673816568</v>
      </c>
      <c r="K13">
        <f t="shared" si="0"/>
        <v>8.0402010050251244E-2</v>
      </c>
      <c r="L13" s="3">
        <f t="shared" si="1"/>
        <v>0.76110717165773889</v>
      </c>
    </row>
    <row r="14" spans="1:12" x14ac:dyDescent="0.3">
      <c r="A14" t="s">
        <v>34</v>
      </c>
      <c r="B14" t="s">
        <v>28</v>
      </c>
      <c r="C14" t="s">
        <v>35</v>
      </c>
      <c r="D14">
        <v>18</v>
      </c>
      <c r="E14">
        <v>2268</v>
      </c>
      <c r="F14">
        <v>4.6428571428571432</v>
      </c>
      <c r="G14">
        <v>4.4444444444444446</v>
      </c>
      <c r="H14">
        <v>44.007936507936513</v>
      </c>
      <c r="I14">
        <v>0.50851190476190478</v>
      </c>
      <c r="J14">
        <v>0.40034618095238089</v>
      </c>
      <c r="K14">
        <f t="shared" si="0"/>
        <v>0.20649233543733095</v>
      </c>
      <c r="L14" s="3">
        <f t="shared" si="1"/>
        <v>0.44049361197875314</v>
      </c>
    </row>
    <row r="15" spans="1:12" x14ac:dyDescent="0.3">
      <c r="A15" t="s">
        <v>36</v>
      </c>
      <c r="B15" t="s">
        <v>28</v>
      </c>
      <c r="C15" t="s">
        <v>35</v>
      </c>
      <c r="D15">
        <v>23</v>
      </c>
      <c r="E15">
        <v>2107</v>
      </c>
      <c r="F15">
        <v>0.89700996677740863</v>
      </c>
      <c r="G15">
        <v>1.3668723303274799</v>
      </c>
      <c r="H15">
        <v>60.313241575700047</v>
      </c>
      <c r="I15">
        <v>6.7258661604176498E-2</v>
      </c>
      <c r="J15">
        <v>0.23031293322259119</v>
      </c>
      <c r="K15">
        <f t="shared" si="0"/>
        <v>3.7535410764872518E-2</v>
      </c>
      <c r="L15" s="3">
        <f t="shared" si="1"/>
        <v>0.77397485924914522</v>
      </c>
    </row>
    <row r="16" spans="1:12" x14ac:dyDescent="0.3">
      <c r="A16" t="s">
        <v>37</v>
      </c>
      <c r="B16" t="s">
        <v>28</v>
      </c>
      <c r="C16" t="s">
        <v>35</v>
      </c>
      <c r="D16">
        <v>23</v>
      </c>
      <c r="E16">
        <v>1797</v>
      </c>
      <c r="F16">
        <v>3.4056761268781299</v>
      </c>
      <c r="G16">
        <v>1.5025041736227041</v>
      </c>
      <c r="H16">
        <v>31.602671118530889</v>
      </c>
      <c r="I16">
        <v>0.35024874791318861</v>
      </c>
      <c r="J16">
        <v>0.2238880948247079</v>
      </c>
      <c r="K16">
        <f t="shared" si="0"/>
        <v>0.15530903328050708</v>
      </c>
      <c r="L16" s="3">
        <f t="shared" si="1"/>
        <v>0.38995597940910526</v>
      </c>
    </row>
    <row r="17" spans="1:12" x14ac:dyDescent="0.3">
      <c r="A17" t="s">
        <v>38</v>
      </c>
      <c r="B17" t="s">
        <v>28</v>
      </c>
      <c r="C17" t="s">
        <v>35</v>
      </c>
      <c r="D17">
        <v>28</v>
      </c>
      <c r="E17">
        <v>1761</v>
      </c>
      <c r="F17">
        <v>3.8841567291311758</v>
      </c>
      <c r="G17">
        <v>1.839863713798978</v>
      </c>
      <c r="H17">
        <v>32.708688245315159</v>
      </c>
      <c r="I17">
        <v>0.3847921635434412</v>
      </c>
      <c r="J17">
        <v>0.23616284718909711</v>
      </c>
      <c r="K17">
        <f t="shared" si="0"/>
        <v>0.17500000000000004</v>
      </c>
      <c r="L17" s="3">
        <f t="shared" si="1"/>
        <v>0.38032199290975471</v>
      </c>
    </row>
    <row r="18" spans="1:12" x14ac:dyDescent="0.3">
      <c r="A18" t="s">
        <v>39</v>
      </c>
      <c r="B18" t="s">
        <v>28</v>
      </c>
      <c r="C18" t="s">
        <v>35</v>
      </c>
      <c r="D18">
        <v>29</v>
      </c>
      <c r="E18">
        <v>1388</v>
      </c>
      <c r="F18">
        <v>4.2146974063400577</v>
      </c>
      <c r="G18">
        <v>1.8804034582132561</v>
      </c>
      <c r="H18">
        <v>32.291066282420751</v>
      </c>
      <c r="I18">
        <v>0.67169956772334294</v>
      </c>
      <c r="J18">
        <v>0.37692615670028817</v>
      </c>
      <c r="K18">
        <f t="shared" si="0"/>
        <v>0.18875502008032127</v>
      </c>
      <c r="L18" s="3">
        <f t="shared" si="1"/>
        <v>0.35944774948894431</v>
      </c>
    </row>
    <row r="19" spans="1:12" x14ac:dyDescent="0.3">
      <c r="A19" t="s">
        <v>40</v>
      </c>
      <c r="B19" t="s">
        <v>28</v>
      </c>
      <c r="C19" t="s">
        <v>41</v>
      </c>
      <c r="D19">
        <v>26</v>
      </c>
      <c r="E19">
        <v>1766</v>
      </c>
      <c r="F19">
        <v>2.5990939977349941</v>
      </c>
      <c r="G19">
        <v>3.1596828992072479</v>
      </c>
      <c r="H19">
        <v>33.737259343148359</v>
      </c>
      <c r="I19">
        <v>0.17315571913929781</v>
      </c>
      <c r="J19">
        <v>0.22429886126840309</v>
      </c>
      <c r="K19">
        <f t="shared" si="0"/>
        <v>0.17069486404833836</v>
      </c>
      <c r="L19" s="3">
        <f t="shared" si="1"/>
        <v>0.56433834788951698</v>
      </c>
    </row>
    <row r="20" spans="1:12" x14ac:dyDescent="0.3">
      <c r="A20" t="s">
        <v>42</v>
      </c>
      <c r="B20" t="s">
        <v>28</v>
      </c>
      <c r="C20" t="s">
        <v>41</v>
      </c>
      <c r="D20">
        <v>25</v>
      </c>
      <c r="E20">
        <v>1597</v>
      </c>
      <c r="F20">
        <v>1.5216030056355669</v>
      </c>
      <c r="G20">
        <v>2.3105823418910458</v>
      </c>
      <c r="H20">
        <v>18.766437069505319</v>
      </c>
      <c r="I20">
        <v>0.16352160300563559</v>
      </c>
      <c r="J20">
        <v>0.15482360795241079</v>
      </c>
      <c r="K20">
        <f t="shared" si="0"/>
        <v>0.20420420420420426</v>
      </c>
      <c r="L20" s="3">
        <f t="shared" si="1"/>
        <v>0.48633873739289413</v>
      </c>
    </row>
    <row r="21" spans="1:12" x14ac:dyDescent="0.3">
      <c r="A21" t="s">
        <v>43</v>
      </c>
      <c r="B21" t="s">
        <v>28</v>
      </c>
      <c r="C21" t="s">
        <v>44</v>
      </c>
      <c r="D21">
        <v>25</v>
      </c>
      <c r="E21">
        <v>2825</v>
      </c>
      <c r="F21">
        <v>3.217699115044248</v>
      </c>
      <c r="G21">
        <v>5.0654867256637166</v>
      </c>
      <c r="H21">
        <v>31.221238938053091</v>
      </c>
      <c r="I21">
        <v>0.43485132743362831</v>
      </c>
      <c r="J21">
        <v>0.17851485345132739</v>
      </c>
      <c r="K21">
        <f t="shared" si="0"/>
        <v>0.26530612244897966</v>
      </c>
      <c r="L21" s="3">
        <f t="shared" si="1"/>
        <v>0.29104123933564247</v>
      </c>
    </row>
    <row r="22" spans="1:12" x14ac:dyDescent="0.3">
      <c r="A22" t="s">
        <v>45</v>
      </c>
      <c r="B22" t="s">
        <v>28</v>
      </c>
      <c r="C22" t="s">
        <v>44</v>
      </c>
      <c r="D22">
        <v>27</v>
      </c>
      <c r="E22">
        <v>2604</v>
      </c>
      <c r="F22">
        <v>5.0460829493087553</v>
      </c>
      <c r="G22">
        <v>2.350230414746544</v>
      </c>
      <c r="H22">
        <v>29.032258064516132</v>
      </c>
      <c r="I22">
        <v>0.82760253456221211</v>
      </c>
      <c r="J22">
        <v>0.21435469009216579</v>
      </c>
      <c r="K22">
        <f t="shared" si="0"/>
        <v>0.25476190476190474</v>
      </c>
      <c r="L22" s="3">
        <f t="shared" si="1"/>
        <v>0.20572311897282372</v>
      </c>
    </row>
    <row r="23" spans="1:12" x14ac:dyDescent="0.3">
      <c r="A23" t="s">
        <v>46</v>
      </c>
      <c r="B23" t="s">
        <v>28</v>
      </c>
      <c r="C23" t="s">
        <v>47</v>
      </c>
      <c r="D23">
        <v>24</v>
      </c>
      <c r="E23">
        <v>1769</v>
      </c>
      <c r="F23">
        <v>1.729790842283776</v>
      </c>
      <c r="G23">
        <v>1.4754098360655741</v>
      </c>
      <c r="H23">
        <v>27.88015828151498</v>
      </c>
      <c r="I23">
        <v>0.13762012436404741</v>
      </c>
      <c r="J23">
        <v>0.23743238530243069</v>
      </c>
      <c r="K23">
        <f t="shared" si="0"/>
        <v>0.11496350364963505</v>
      </c>
      <c r="L23" s="3">
        <f t="shared" si="1"/>
        <v>0.63306438214097416</v>
      </c>
    </row>
    <row r="24" spans="1:12" x14ac:dyDescent="0.3">
      <c r="A24" t="s">
        <v>48</v>
      </c>
      <c r="B24" t="s">
        <v>28</v>
      </c>
      <c r="C24" t="s">
        <v>47</v>
      </c>
      <c r="D24">
        <v>24</v>
      </c>
      <c r="E24">
        <v>1508</v>
      </c>
      <c r="F24">
        <v>1.6710875331564989</v>
      </c>
      <c r="G24">
        <v>2.327586206896552</v>
      </c>
      <c r="H24">
        <v>21.84350132625995</v>
      </c>
      <c r="I24">
        <v>0.14303315649867371</v>
      </c>
      <c r="J24">
        <v>0.20990987904509281</v>
      </c>
      <c r="K24">
        <f t="shared" si="0"/>
        <v>0.1830601092896175</v>
      </c>
      <c r="L24" s="3">
        <f t="shared" si="1"/>
        <v>0.59474152456838336</v>
      </c>
    </row>
    <row r="25" spans="1:12" x14ac:dyDescent="0.3">
      <c r="A25" t="s">
        <v>49</v>
      </c>
      <c r="B25" t="s">
        <v>28</v>
      </c>
      <c r="C25" t="s">
        <v>50</v>
      </c>
      <c r="D25">
        <v>30</v>
      </c>
      <c r="E25">
        <v>2396</v>
      </c>
      <c r="F25">
        <v>2.3664440734557601</v>
      </c>
      <c r="G25">
        <v>2.4791318864774619</v>
      </c>
      <c r="H25">
        <v>23.21368948247078</v>
      </c>
      <c r="I25">
        <v>0.31035726210350578</v>
      </c>
      <c r="J25">
        <v>0.23958184169449079</v>
      </c>
      <c r="K25">
        <f t="shared" si="0"/>
        <v>0.20873786407766995</v>
      </c>
      <c r="L25" s="3">
        <f t="shared" si="1"/>
        <v>0.4356515840388282</v>
      </c>
    </row>
    <row r="26" spans="1:12" x14ac:dyDescent="0.3">
      <c r="A26" t="s">
        <v>51</v>
      </c>
      <c r="B26" t="s">
        <v>52</v>
      </c>
      <c r="C26" t="s">
        <v>53</v>
      </c>
      <c r="D26">
        <v>23</v>
      </c>
      <c r="E26">
        <v>1911</v>
      </c>
      <c r="F26">
        <v>0.70643642072213497</v>
      </c>
      <c r="G26">
        <v>1.695447409733124</v>
      </c>
      <c r="H26">
        <v>26.750392464678178</v>
      </c>
      <c r="I26">
        <v>4.7886970172684402E-2</v>
      </c>
      <c r="J26">
        <v>0.1674181309262166</v>
      </c>
      <c r="K26">
        <f t="shared" si="0"/>
        <v>8.9788732394366202E-2</v>
      </c>
      <c r="L26" s="3">
        <f t="shared" si="1"/>
        <v>0.77758552896205013</v>
      </c>
    </row>
    <row r="27" spans="1:12" x14ac:dyDescent="0.3">
      <c r="A27" t="s">
        <v>54</v>
      </c>
      <c r="B27" t="s">
        <v>52</v>
      </c>
      <c r="C27" t="s">
        <v>53</v>
      </c>
      <c r="D27">
        <v>21</v>
      </c>
      <c r="E27">
        <v>1733</v>
      </c>
      <c r="F27">
        <v>2.4408540103866132</v>
      </c>
      <c r="G27">
        <v>4.7778418926716677</v>
      </c>
      <c r="H27">
        <v>26.537795729948069</v>
      </c>
      <c r="I27">
        <v>0.32971263704558568</v>
      </c>
      <c r="J27">
        <v>0.37423165793421809</v>
      </c>
      <c r="K27">
        <f t="shared" si="0"/>
        <v>0.2720156555772994</v>
      </c>
      <c r="L27" s="3">
        <f t="shared" si="1"/>
        <v>0.53162112485754975</v>
      </c>
    </row>
    <row r="28" spans="1:12" x14ac:dyDescent="0.3">
      <c r="A28" t="s">
        <v>55</v>
      </c>
      <c r="B28" t="s">
        <v>52</v>
      </c>
      <c r="C28" t="s">
        <v>53</v>
      </c>
      <c r="D28">
        <v>20</v>
      </c>
      <c r="E28">
        <v>1551</v>
      </c>
      <c r="F28">
        <v>2.611218568665377</v>
      </c>
      <c r="G28">
        <v>3.5396518375241781</v>
      </c>
      <c r="H28">
        <v>27.9110251450677</v>
      </c>
      <c r="I28">
        <v>0.1920058027079303</v>
      </c>
      <c r="J28">
        <v>0.24282259264990319</v>
      </c>
      <c r="K28">
        <f t="shared" si="0"/>
        <v>0.22037422037422036</v>
      </c>
      <c r="L28" s="3">
        <f t="shared" si="1"/>
        <v>0.55843315487728695</v>
      </c>
    </row>
    <row r="29" spans="1:12" x14ac:dyDescent="0.3">
      <c r="A29" t="s">
        <v>56</v>
      </c>
      <c r="B29" t="s">
        <v>52</v>
      </c>
      <c r="C29" t="s">
        <v>53</v>
      </c>
      <c r="D29">
        <v>23</v>
      </c>
      <c r="E29">
        <v>1421</v>
      </c>
      <c r="F29">
        <v>2.216748768472907</v>
      </c>
      <c r="G29">
        <v>0.82336382828993671</v>
      </c>
      <c r="H29">
        <v>32.68121041520056</v>
      </c>
      <c r="I29">
        <v>0.17189936664320901</v>
      </c>
      <c r="J29">
        <v>0.23794397543983109</v>
      </c>
      <c r="K29">
        <f t="shared" si="0"/>
        <v>9.3023255813953515E-2</v>
      </c>
      <c r="L29" s="3">
        <f t="shared" si="1"/>
        <v>0.58057299218397518</v>
      </c>
    </row>
    <row r="30" spans="1:12" x14ac:dyDescent="0.3">
      <c r="A30" t="s">
        <v>57</v>
      </c>
      <c r="B30" t="s">
        <v>52</v>
      </c>
      <c r="C30" t="s">
        <v>58</v>
      </c>
      <c r="D30">
        <v>26</v>
      </c>
      <c r="E30">
        <v>2573</v>
      </c>
      <c r="F30">
        <v>1.5390594636610959</v>
      </c>
      <c r="G30">
        <v>1.4691022153128639</v>
      </c>
      <c r="H30">
        <v>15.56548775748154</v>
      </c>
      <c r="I30">
        <v>0.18728954527788569</v>
      </c>
      <c r="J30">
        <v>0.1799332184609404</v>
      </c>
      <c r="K30">
        <f t="shared" si="0"/>
        <v>0.19325842696629211</v>
      </c>
      <c r="L30" s="3">
        <f t="shared" si="1"/>
        <v>0.48998383604811435</v>
      </c>
    </row>
    <row r="31" spans="1:12" x14ac:dyDescent="0.3">
      <c r="A31" t="s">
        <v>59</v>
      </c>
      <c r="B31" t="s">
        <v>52</v>
      </c>
      <c r="C31" t="s">
        <v>60</v>
      </c>
      <c r="D31">
        <v>26</v>
      </c>
      <c r="E31">
        <v>1836</v>
      </c>
      <c r="F31">
        <v>1.3235294117647061</v>
      </c>
      <c r="G31">
        <v>3.5784313725490202</v>
      </c>
      <c r="H31">
        <v>26.7156862745098</v>
      </c>
      <c r="I31">
        <v>8.1083333333333299E-2</v>
      </c>
      <c r="J31">
        <v>0.18804164558823519</v>
      </c>
      <c r="K31">
        <f t="shared" si="0"/>
        <v>0.18348623853211013</v>
      </c>
      <c r="L31" s="3">
        <f t="shared" si="1"/>
        <v>0.69871494776052157</v>
      </c>
    </row>
    <row r="32" spans="1:12" x14ac:dyDescent="0.3">
      <c r="A32" t="s">
        <v>61</v>
      </c>
      <c r="B32" t="s">
        <v>52</v>
      </c>
      <c r="C32" t="s">
        <v>62</v>
      </c>
      <c r="D32">
        <v>24</v>
      </c>
      <c r="E32">
        <v>1886</v>
      </c>
      <c r="F32">
        <v>2.0042417815482501</v>
      </c>
      <c r="G32">
        <v>2.2428419936373278</v>
      </c>
      <c r="H32">
        <v>16.749734888653229</v>
      </c>
      <c r="I32">
        <v>0.25172799575821841</v>
      </c>
      <c r="J32">
        <v>0.1672189492046659</v>
      </c>
      <c r="K32">
        <f t="shared" si="0"/>
        <v>0.25356125356125364</v>
      </c>
      <c r="L32" s="3">
        <f t="shared" si="1"/>
        <v>0.39914111133924202</v>
      </c>
    </row>
    <row r="33" spans="1:12" x14ac:dyDescent="0.3">
      <c r="A33" t="s">
        <v>63</v>
      </c>
      <c r="B33" t="s">
        <v>52</v>
      </c>
      <c r="C33" t="s">
        <v>64</v>
      </c>
      <c r="D33">
        <v>26</v>
      </c>
      <c r="E33">
        <v>1944</v>
      </c>
      <c r="F33">
        <v>3.1481481481481479</v>
      </c>
      <c r="G33">
        <v>1.944444444444444</v>
      </c>
      <c r="H33">
        <v>36.018518518518519</v>
      </c>
      <c r="I33">
        <v>0.55062962962962969</v>
      </c>
      <c r="J33">
        <v>0.21708297916666669</v>
      </c>
      <c r="K33">
        <f t="shared" si="0"/>
        <v>0.14138817480719792</v>
      </c>
      <c r="L33" s="3">
        <f t="shared" si="1"/>
        <v>0.28276594220203449</v>
      </c>
    </row>
    <row r="34" spans="1:12" x14ac:dyDescent="0.3">
      <c r="A34" t="s">
        <v>65</v>
      </c>
      <c r="B34" t="s">
        <v>52</v>
      </c>
      <c r="C34" t="s">
        <v>66</v>
      </c>
      <c r="D34">
        <v>26</v>
      </c>
      <c r="E34">
        <v>2851</v>
      </c>
      <c r="F34">
        <v>2.3360224482637681</v>
      </c>
      <c r="G34">
        <v>1.2311469659768499</v>
      </c>
      <c r="H34">
        <v>32.735882146615218</v>
      </c>
      <c r="I34">
        <v>0.2262343037530691</v>
      </c>
      <c r="J34">
        <v>0.23697515503332159</v>
      </c>
      <c r="K34">
        <f t="shared" si="0"/>
        <v>0.10896817743490843</v>
      </c>
      <c r="L34" s="3">
        <f t="shared" si="1"/>
        <v>0.51159394640644162</v>
      </c>
    </row>
    <row r="35" spans="1:12" x14ac:dyDescent="0.3">
      <c r="A35" t="s">
        <v>67</v>
      </c>
      <c r="B35" t="s">
        <v>52</v>
      </c>
      <c r="C35" t="s">
        <v>66</v>
      </c>
      <c r="D35">
        <v>25</v>
      </c>
      <c r="E35">
        <v>1963</v>
      </c>
      <c r="F35">
        <v>2.2465613856342328</v>
      </c>
      <c r="G35">
        <v>3.6220071319409071</v>
      </c>
      <c r="H35">
        <v>28.425878757004579</v>
      </c>
      <c r="I35">
        <v>0.15460468670402441</v>
      </c>
      <c r="J35">
        <v>0.1826299998981151</v>
      </c>
      <c r="K35">
        <f t="shared" si="0"/>
        <v>0.20645161290322583</v>
      </c>
      <c r="L35" s="3">
        <f t="shared" si="1"/>
        <v>0.5415516468315642</v>
      </c>
    </row>
    <row r="36" spans="1:12" x14ac:dyDescent="0.3">
      <c r="A36" t="s">
        <v>68</v>
      </c>
      <c r="B36" t="s">
        <v>69</v>
      </c>
      <c r="C36" t="s">
        <v>70</v>
      </c>
      <c r="D36">
        <v>21</v>
      </c>
      <c r="E36">
        <v>2379</v>
      </c>
      <c r="F36">
        <v>2.57250945775536</v>
      </c>
      <c r="G36">
        <v>2.0807061790668349</v>
      </c>
      <c r="H36">
        <v>18.612862547288781</v>
      </c>
      <c r="I36">
        <v>0.33357503152585111</v>
      </c>
      <c r="J36">
        <v>0.17794290529634299</v>
      </c>
      <c r="K36">
        <f t="shared" si="0"/>
        <v>0.24999999999999994</v>
      </c>
      <c r="L36" s="3">
        <f t="shared" si="1"/>
        <v>0.34787226896052476</v>
      </c>
    </row>
    <row r="37" spans="1:12" x14ac:dyDescent="0.3">
      <c r="A37" t="s">
        <v>71</v>
      </c>
      <c r="B37" t="s">
        <v>69</v>
      </c>
      <c r="C37" t="s">
        <v>72</v>
      </c>
      <c r="D37">
        <v>25</v>
      </c>
      <c r="E37">
        <v>2457</v>
      </c>
      <c r="F37">
        <v>1.135531135531135</v>
      </c>
      <c r="G37">
        <v>2.124542124542125</v>
      </c>
      <c r="H37">
        <v>16.19047619047619</v>
      </c>
      <c r="I37">
        <v>5.4743589743589699E-2</v>
      </c>
      <c r="J37">
        <v>0.1745791992673992</v>
      </c>
      <c r="K37">
        <f t="shared" si="0"/>
        <v>0.20135746606334842</v>
      </c>
      <c r="L37" s="3">
        <f t="shared" si="1"/>
        <v>0.76128151074873573</v>
      </c>
    </row>
    <row r="38" spans="1:12" x14ac:dyDescent="0.3">
      <c r="A38" t="s">
        <v>73</v>
      </c>
      <c r="B38" t="s">
        <v>69</v>
      </c>
      <c r="C38" t="s">
        <v>74</v>
      </c>
      <c r="D38">
        <v>25</v>
      </c>
      <c r="E38">
        <v>2144</v>
      </c>
      <c r="F38">
        <v>2.2667910447761201</v>
      </c>
      <c r="G38">
        <v>1.2593283582089549</v>
      </c>
      <c r="H38">
        <v>24.095149253731339</v>
      </c>
      <c r="I38">
        <v>0.3015839552238806</v>
      </c>
      <c r="J38">
        <v>0.18544817392723881</v>
      </c>
      <c r="K38">
        <f t="shared" si="0"/>
        <v>0.14634146341463419</v>
      </c>
      <c r="L38" s="3">
        <f t="shared" si="1"/>
        <v>0.38077195081660986</v>
      </c>
    </row>
    <row r="39" spans="1:12" x14ac:dyDescent="0.3">
      <c r="A39" t="s">
        <v>75</v>
      </c>
      <c r="B39" t="s">
        <v>69</v>
      </c>
      <c r="C39" t="s">
        <v>76</v>
      </c>
      <c r="D39">
        <v>24</v>
      </c>
      <c r="E39">
        <v>2469</v>
      </c>
      <c r="F39">
        <v>4.1919805589307408</v>
      </c>
      <c r="G39">
        <v>2.5151883353584452</v>
      </c>
      <c r="H39">
        <v>33.973268529769143</v>
      </c>
      <c r="I39">
        <v>0.52466099635479946</v>
      </c>
      <c r="J39">
        <v>0.2119526092345079</v>
      </c>
      <c r="K39">
        <f t="shared" si="0"/>
        <v>0.19742489270386263</v>
      </c>
      <c r="L39" s="3">
        <f t="shared" si="1"/>
        <v>0.28773919952909516</v>
      </c>
    </row>
    <row r="40" spans="1:12" x14ac:dyDescent="0.3">
      <c r="A40" t="s">
        <v>77</v>
      </c>
      <c r="B40" t="s">
        <v>69</v>
      </c>
      <c r="C40" t="s">
        <v>78</v>
      </c>
      <c r="D40">
        <v>23</v>
      </c>
      <c r="E40">
        <v>1750</v>
      </c>
      <c r="F40">
        <v>3.4457142857142862</v>
      </c>
      <c r="G40">
        <v>3.137142857142857</v>
      </c>
      <c r="H40">
        <v>29.777142857142859</v>
      </c>
      <c r="I40">
        <v>0.55696628571428575</v>
      </c>
      <c r="J40">
        <v>0.23167500377142849</v>
      </c>
      <c r="K40">
        <f t="shared" si="0"/>
        <v>0.22107081174438689</v>
      </c>
      <c r="L40" s="3">
        <f t="shared" si="1"/>
        <v>0.29376474052291573</v>
      </c>
    </row>
    <row r="41" spans="1:12" x14ac:dyDescent="0.3">
      <c r="A41" t="s">
        <v>79</v>
      </c>
      <c r="B41" t="s">
        <v>69</v>
      </c>
      <c r="C41" t="s">
        <v>78</v>
      </c>
      <c r="D41">
        <v>25</v>
      </c>
      <c r="E41">
        <v>1522</v>
      </c>
      <c r="F41">
        <v>2.187910643889619</v>
      </c>
      <c r="G41">
        <v>1.0643889618922471</v>
      </c>
      <c r="H41">
        <v>44.053876478318003</v>
      </c>
      <c r="I41">
        <v>0.1571156373193166</v>
      </c>
      <c r="J41">
        <v>0.32532129461235221</v>
      </c>
      <c r="K41">
        <f t="shared" si="0"/>
        <v>7.3825503355704702E-2</v>
      </c>
      <c r="L41" s="3">
        <f t="shared" si="1"/>
        <v>0.67432916735825255</v>
      </c>
    </row>
    <row r="42" spans="1:12" x14ac:dyDescent="0.3">
      <c r="A42" t="s">
        <v>80</v>
      </c>
      <c r="B42" t="s">
        <v>69</v>
      </c>
      <c r="C42" t="s">
        <v>78</v>
      </c>
      <c r="D42">
        <v>25</v>
      </c>
      <c r="E42">
        <v>1483</v>
      </c>
      <c r="F42">
        <v>3.9447066756574509</v>
      </c>
      <c r="G42">
        <v>3.1557653405259609</v>
      </c>
      <c r="H42">
        <v>40.236008091705997</v>
      </c>
      <c r="I42">
        <v>0.48019824679703299</v>
      </c>
      <c r="J42">
        <v>0.28741982285906947</v>
      </c>
      <c r="K42">
        <f t="shared" si="0"/>
        <v>0.17647058823529413</v>
      </c>
      <c r="L42" s="3">
        <f t="shared" si="1"/>
        <v>0.37443076735782849</v>
      </c>
    </row>
    <row r="43" spans="1:12" x14ac:dyDescent="0.3">
      <c r="A43" t="s">
        <v>81</v>
      </c>
      <c r="B43" t="s">
        <v>69</v>
      </c>
      <c r="C43" t="s">
        <v>78</v>
      </c>
      <c r="D43">
        <v>20</v>
      </c>
      <c r="E43">
        <v>1356</v>
      </c>
      <c r="F43">
        <v>3.6504424778761062</v>
      </c>
      <c r="G43">
        <v>3.6504424778761062</v>
      </c>
      <c r="H43">
        <v>39.889380530973447</v>
      </c>
      <c r="I43">
        <v>0.52533185840707963</v>
      </c>
      <c r="J43">
        <v>0.2019531769911504</v>
      </c>
      <c r="K43">
        <f t="shared" si="0"/>
        <v>0.18302828618968389</v>
      </c>
      <c r="L43" s="3">
        <f t="shared" si="1"/>
        <v>0.27768091898188102</v>
      </c>
    </row>
    <row r="44" spans="1:12" x14ac:dyDescent="0.3">
      <c r="A44" t="s">
        <v>82</v>
      </c>
      <c r="B44" t="s">
        <v>69</v>
      </c>
      <c r="C44" t="s">
        <v>83</v>
      </c>
      <c r="D44">
        <v>33</v>
      </c>
      <c r="E44">
        <v>2460</v>
      </c>
      <c r="F44">
        <v>2.6707317073170729</v>
      </c>
      <c r="G44">
        <v>3</v>
      </c>
      <c r="H44">
        <v>28.975609756097558</v>
      </c>
      <c r="I44">
        <v>0.39882804878048778</v>
      </c>
      <c r="J44">
        <v>0.32854981975609748</v>
      </c>
      <c r="K44">
        <f t="shared" si="0"/>
        <v>0.19570707070707069</v>
      </c>
      <c r="L44" s="3">
        <f t="shared" si="1"/>
        <v>0.45169070158418251</v>
      </c>
    </row>
    <row r="45" spans="1:12" x14ac:dyDescent="0.3">
      <c r="A45" t="s">
        <v>84</v>
      </c>
      <c r="B45" t="s">
        <v>69</v>
      </c>
      <c r="C45" t="s">
        <v>85</v>
      </c>
      <c r="D45">
        <v>21</v>
      </c>
      <c r="E45">
        <v>2041</v>
      </c>
      <c r="F45">
        <v>1.278784909358158</v>
      </c>
      <c r="G45">
        <v>1.411073003429691</v>
      </c>
      <c r="H45">
        <v>24.341009309162171</v>
      </c>
      <c r="I45">
        <v>8.88799608035276E-2</v>
      </c>
      <c r="J45">
        <v>0.17298452601665851</v>
      </c>
      <c r="K45">
        <f t="shared" si="0"/>
        <v>0.1105072463768116</v>
      </c>
      <c r="L45" s="3">
        <f t="shared" si="1"/>
        <v>0.66058795569114881</v>
      </c>
    </row>
    <row r="46" spans="1:12" x14ac:dyDescent="0.3">
      <c r="A46" t="s">
        <v>86</v>
      </c>
      <c r="B46" t="s">
        <v>69</v>
      </c>
      <c r="C46" t="s">
        <v>85</v>
      </c>
      <c r="D46">
        <v>22</v>
      </c>
      <c r="E46">
        <v>1892</v>
      </c>
      <c r="F46">
        <v>2.9016913319238902</v>
      </c>
      <c r="G46">
        <v>2.4735729386892178</v>
      </c>
      <c r="H46">
        <v>19.598308668076111</v>
      </c>
      <c r="I46">
        <v>0.36144608879492601</v>
      </c>
      <c r="J46">
        <v>0.25108093065539111</v>
      </c>
      <c r="K46">
        <f t="shared" si="0"/>
        <v>0.27427184466019416</v>
      </c>
      <c r="L46" s="3">
        <f t="shared" si="1"/>
        <v>0.40990996753206344</v>
      </c>
    </row>
    <row r="47" spans="1:12" x14ac:dyDescent="0.3">
      <c r="A47" t="s">
        <v>87</v>
      </c>
      <c r="B47" t="s">
        <v>69</v>
      </c>
      <c r="C47" t="s">
        <v>88</v>
      </c>
      <c r="D47">
        <v>28</v>
      </c>
      <c r="E47">
        <v>2224</v>
      </c>
      <c r="F47">
        <v>2.5899280575539572</v>
      </c>
      <c r="G47">
        <v>2.5494604316546758</v>
      </c>
      <c r="H47">
        <v>17.805755395683448</v>
      </c>
      <c r="I47">
        <v>0.21134217625899279</v>
      </c>
      <c r="J47">
        <v>0.1738462714478417</v>
      </c>
      <c r="K47">
        <f t="shared" si="0"/>
        <v>0.28863636363636369</v>
      </c>
      <c r="L47" s="3">
        <f t="shared" si="1"/>
        <v>0.45132784350831695</v>
      </c>
    </row>
    <row r="48" spans="1:12" x14ac:dyDescent="0.3">
      <c r="A48" t="s">
        <v>89</v>
      </c>
      <c r="B48" t="s">
        <v>69</v>
      </c>
      <c r="C48" t="s">
        <v>88</v>
      </c>
      <c r="D48">
        <v>28</v>
      </c>
      <c r="E48">
        <v>1548</v>
      </c>
      <c r="F48">
        <v>2.7325581395348841</v>
      </c>
      <c r="G48">
        <v>2.0930232558139541</v>
      </c>
      <c r="H48">
        <v>25.755813953488371</v>
      </c>
      <c r="I48">
        <v>0.29643604651162792</v>
      </c>
      <c r="J48">
        <v>0.32793487616279071</v>
      </c>
      <c r="K48">
        <f t="shared" si="0"/>
        <v>0.18735891647855535</v>
      </c>
      <c r="L48" s="3">
        <f t="shared" si="1"/>
        <v>0.52522445273095142</v>
      </c>
    </row>
    <row r="49" spans="1:12" x14ac:dyDescent="0.3">
      <c r="A49" t="s">
        <v>90</v>
      </c>
      <c r="B49" t="s">
        <v>69</v>
      </c>
      <c r="C49" t="s">
        <v>91</v>
      </c>
      <c r="D49">
        <v>25</v>
      </c>
      <c r="E49">
        <v>2608</v>
      </c>
      <c r="F49">
        <v>1.9670245398773001</v>
      </c>
      <c r="G49">
        <v>3.1058282208588959</v>
      </c>
      <c r="H49">
        <v>21.671779141104292</v>
      </c>
      <c r="I49">
        <v>0.20347315950920239</v>
      </c>
      <c r="J49">
        <v>0.1596606101226993</v>
      </c>
      <c r="K49">
        <f t="shared" si="0"/>
        <v>0.23407643312101911</v>
      </c>
      <c r="L49" s="3">
        <f t="shared" si="1"/>
        <v>0.43967436651386815</v>
      </c>
    </row>
    <row r="50" spans="1:12" x14ac:dyDescent="0.3">
      <c r="A50" t="s">
        <v>92</v>
      </c>
      <c r="B50" t="s">
        <v>93</v>
      </c>
      <c r="C50" t="s">
        <v>94</v>
      </c>
      <c r="D50">
        <v>22</v>
      </c>
      <c r="E50">
        <v>2315</v>
      </c>
      <c r="F50">
        <v>1.5550755939524841</v>
      </c>
      <c r="G50">
        <v>1.127429805615551</v>
      </c>
      <c r="H50">
        <v>23.442764578833689</v>
      </c>
      <c r="I50">
        <v>0.1768159827213823</v>
      </c>
      <c r="J50">
        <v>0.1780606189632829</v>
      </c>
      <c r="K50">
        <f t="shared" si="0"/>
        <v>0.11442786069651745</v>
      </c>
      <c r="L50" s="3">
        <f t="shared" si="1"/>
        <v>0.50175361835070575</v>
      </c>
    </row>
    <row r="51" spans="1:12" x14ac:dyDescent="0.3">
      <c r="A51" t="s">
        <v>95</v>
      </c>
      <c r="B51" t="s">
        <v>93</v>
      </c>
      <c r="C51" t="s">
        <v>96</v>
      </c>
      <c r="D51">
        <v>23</v>
      </c>
      <c r="E51">
        <v>1859</v>
      </c>
      <c r="F51">
        <v>2.0333512641204949</v>
      </c>
      <c r="G51">
        <v>1.93652501344809</v>
      </c>
      <c r="H51">
        <v>26.143087681549218</v>
      </c>
      <c r="I51">
        <v>0.15235126412049479</v>
      </c>
      <c r="J51">
        <v>0.1882683576116192</v>
      </c>
      <c r="K51">
        <f t="shared" si="0"/>
        <v>0.15185185185185185</v>
      </c>
      <c r="L51" s="3">
        <f t="shared" si="1"/>
        <v>0.55272317153732853</v>
      </c>
    </row>
    <row r="52" spans="1:12" x14ac:dyDescent="0.3">
      <c r="A52" t="s">
        <v>97</v>
      </c>
      <c r="B52" t="s">
        <v>11</v>
      </c>
      <c r="C52" t="s">
        <v>12</v>
      </c>
      <c r="D52">
        <v>22</v>
      </c>
      <c r="E52">
        <v>1561</v>
      </c>
      <c r="F52">
        <v>1.5566944266495839</v>
      </c>
      <c r="G52">
        <v>2.594490711082639</v>
      </c>
      <c r="H52">
        <v>24.791800128123</v>
      </c>
      <c r="I52">
        <v>0.1756412556053811</v>
      </c>
      <c r="J52">
        <v>0.25167204253683528</v>
      </c>
      <c r="K52">
        <f t="shared" si="0"/>
        <v>0.16744186046511625</v>
      </c>
      <c r="L52" s="3">
        <f t="shared" si="1"/>
        <v>0.58896375008922608</v>
      </c>
    </row>
    <row r="53" spans="1:12" x14ac:dyDescent="0.3">
      <c r="A53" t="s">
        <v>98</v>
      </c>
      <c r="B53" t="s">
        <v>69</v>
      </c>
      <c r="C53" t="s">
        <v>99</v>
      </c>
      <c r="D53">
        <v>24</v>
      </c>
      <c r="E53">
        <v>1533</v>
      </c>
      <c r="F53">
        <v>1.6438356164383561</v>
      </c>
      <c r="G53">
        <v>3.4050880626223088</v>
      </c>
      <c r="H53">
        <v>19.960861056751469</v>
      </c>
      <c r="I53">
        <v>0.16575733855185909</v>
      </c>
      <c r="J53">
        <v>0.15853563170254401</v>
      </c>
      <c r="K53">
        <f t="shared" si="0"/>
        <v>0.25294117647058817</v>
      </c>
      <c r="L53" s="3">
        <f t="shared" si="1"/>
        <v>0.48886545884166138</v>
      </c>
    </row>
    <row r="54" spans="1:12" x14ac:dyDescent="0.3">
      <c r="A54" t="s">
        <v>100</v>
      </c>
      <c r="B54" t="s">
        <v>11</v>
      </c>
      <c r="C54" t="s">
        <v>19</v>
      </c>
      <c r="D54">
        <v>21</v>
      </c>
      <c r="E54">
        <v>1495</v>
      </c>
      <c r="F54">
        <v>2.2876254180602</v>
      </c>
      <c r="G54">
        <v>2.7090301003344481</v>
      </c>
      <c r="H54">
        <v>24.020066889632108</v>
      </c>
      <c r="I54">
        <v>0.31065953177257521</v>
      </c>
      <c r="J54">
        <v>0.21370592889632101</v>
      </c>
      <c r="K54">
        <f t="shared" si="0"/>
        <v>0.20802005012531327</v>
      </c>
      <c r="L54" s="3">
        <f t="shared" si="1"/>
        <v>0.40755149781168148</v>
      </c>
    </row>
    <row r="55" spans="1:12" x14ac:dyDescent="0.3">
      <c r="A55" t="s">
        <v>101</v>
      </c>
      <c r="B55" t="s">
        <v>28</v>
      </c>
      <c r="C55" t="s">
        <v>102</v>
      </c>
      <c r="D55">
        <v>28</v>
      </c>
      <c r="E55">
        <v>1419</v>
      </c>
      <c r="F55">
        <v>3.044397463002114</v>
      </c>
      <c r="G55">
        <v>1.9027484143763209</v>
      </c>
      <c r="H55">
        <v>20.676532769556019</v>
      </c>
      <c r="I55">
        <v>0.4342515856236786</v>
      </c>
      <c r="J55">
        <v>0.16480392875264269</v>
      </c>
      <c r="K55">
        <f t="shared" si="0"/>
        <v>0.23926380368098163</v>
      </c>
      <c r="L55" s="3">
        <f t="shared" si="1"/>
        <v>0.27510627111782887</v>
      </c>
    </row>
    <row r="56" spans="1:12" x14ac:dyDescent="0.3">
      <c r="A56" t="s">
        <v>103</v>
      </c>
      <c r="B56" t="s">
        <v>104</v>
      </c>
      <c r="C56" t="s">
        <v>105</v>
      </c>
      <c r="D56">
        <v>31</v>
      </c>
      <c r="E56">
        <v>1396</v>
      </c>
      <c r="F56">
        <v>2.1275071633237821</v>
      </c>
      <c r="G56">
        <v>3.9326647564469912</v>
      </c>
      <c r="H56">
        <v>22.371060171919769</v>
      </c>
      <c r="I56">
        <v>0.15630085959885379</v>
      </c>
      <c r="J56">
        <v>0.2915541722063037</v>
      </c>
      <c r="K56">
        <f t="shared" si="0"/>
        <v>0.27089337175792511</v>
      </c>
      <c r="L56" s="3">
        <f t="shared" si="1"/>
        <v>0.6510012202634945</v>
      </c>
    </row>
    <row r="57" spans="1:12" x14ac:dyDescent="0.3">
      <c r="A57" t="s">
        <v>106</v>
      </c>
      <c r="B57" t="s">
        <v>93</v>
      </c>
      <c r="C57" t="s">
        <v>107</v>
      </c>
      <c r="D57">
        <v>24</v>
      </c>
      <c r="E57">
        <v>2225</v>
      </c>
      <c r="F57">
        <v>2.8719101123595512</v>
      </c>
      <c r="G57">
        <v>2.5078651685393258</v>
      </c>
      <c r="H57">
        <v>25.321348314606741</v>
      </c>
      <c r="I57">
        <v>0.30600808988764039</v>
      </c>
      <c r="J57">
        <v>0.28964639973033701</v>
      </c>
      <c r="K57">
        <f t="shared" si="0"/>
        <v>0.21246006389776362</v>
      </c>
      <c r="L57" s="3">
        <f t="shared" si="1"/>
        <v>0.48626578793370889</v>
      </c>
    </row>
    <row r="58" spans="1:12" x14ac:dyDescent="0.3">
      <c r="A58" t="s">
        <v>108</v>
      </c>
      <c r="B58" t="s">
        <v>93</v>
      </c>
      <c r="C58" t="s">
        <v>109</v>
      </c>
      <c r="D58">
        <v>21</v>
      </c>
      <c r="E58">
        <v>2398</v>
      </c>
      <c r="F58">
        <v>1.5387823185988321</v>
      </c>
      <c r="G58">
        <v>1.9140950792326941</v>
      </c>
      <c r="H58">
        <v>18.315262718932441</v>
      </c>
      <c r="I58">
        <v>0.14273519599666379</v>
      </c>
      <c r="J58">
        <v>0.19223234399499581</v>
      </c>
      <c r="K58">
        <f t="shared" si="0"/>
        <v>0.18852459016393444</v>
      </c>
      <c r="L58" s="3">
        <f t="shared" si="1"/>
        <v>0.57388349927811577</v>
      </c>
    </row>
    <row r="59" spans="1:12" x14ac:dyDescent="0.3">
      <c r="A59" t="s">
        <v>110</v>
      </c>
      <c r="B59" t="s">
        <v>93</v>
      </c>
      <c r="C59" t="s">
        <v>111</v>
      </c>
      <c r="D59">
        <v>26</v>
      </c>
      <c r="E59">
        <v>2643</v>
      </c>
      <c r="F59">
        <v>1.566401816118048</v>
      </c>
      <c r="G59">
        <v>2.622020431328036</v>
      </c>
      <c r="H59">
        <v>23.632236095346201</v>
      </c>
      <c r="I59">
        <v>0.15715096481271279</v>
      </c>
      <c r="J59">
        <v>0.23257426447219071</v>
      </c>
      <c r="K59">
        <f t="shared" si="0"/>
        <v>0.17723342939481265</v>
      </c>
      <c r="L59" s="3">
        <f t="shared" si="1"/>
        <v>0.59676471266418929</v>
      </c>
    </row>
    <row r="60" spans="1:12" x14ac:dyDescent="0.3">
      <c r="A60" t="s">
        <v>112</v>
      </c>
      <c r="B60" t="s">
        <v>93</v>
      </c>
      <c r="C60" t="s">
        <v>113</v>
      </c>
      <c r="D60">
        <v>22</v>
      </c>
      <c r="E60">
        <v>1794</v>
      </c>
      <c r="F60">
        <v>2.7591973244147159</v>
      </c>
      <c r="G60">
        <v>3.9632107023411369</v>
      </c>
      <c r="H60">
        <v>48.411371237458191</v>
      </c>
      <c r="I60">
        <v>0.20730100334448151</v>
      </c>
      <c r="J60">
        <v>0.4340319285953177</v>
      </c>
      <c r="K60">
        <f t="shared" si="0"/>
        <v>0.13886010362694301</v>
      </c>
      <c r="L60" s="3">
        <f t="shared" si="1"/>
        <v>0.67676538499672656</v>
      </c>
    </row>
    <row r="61" spans="1:12" x14ac:dyDescent="0.3">
      <c r="A61" t="s">
        <v>114</v>
      </c>
      <c r="B61" t="s">
        <v>93</v>
      </c>
      <c r="C61" t="s">
        <v>113</v>
      </c>
      <c r="D61">
        <v>23</v>
      </c>
      <c r="E61">
        <v>1784</v>
      </c>
      <c r="F61">
        <v>1.967488789237668</v>
      </c>
      <c r="G61">
        <v>6.1547085201793719</v>
      </c>
      <c r="H61">
        <v>32.74103139013453</v>
      </c>
      <c r="I61">
        <v>0.1385112107623318</v>
      </c>
      <c r="J61">
        <v>0.31188524831838571</v>
      </c>
      <c r="K61">
        <f t="shared" si="0"/>
        <v>0.24807395993836667</v>
      </c>
      <c r="L61" s="3">
        <f t="shared" si="1"/>
        <v>0.69246825109362464</v>
      </c>
    </row>
    <row r="62" spans="1:12" x14ac:dyDescent="0.3">
      <c r="A62" t="s">
        <v>115</v>
      </c>
      <c r="B62" t="s">
        <v>93</v>
      </c>
      <c r="C62" t="s">
        <v>116</v>
      </c>
      <c r="D62">
        <v>23</v>
      </c>
      <c r="E62">
        <v>2344</v>
      </c>
      <c r="F62">
        <v>2.0349829351535842</v>
      </c>
      <c r="G62">
        <v>2.342150170648464</v>
      </c>
      <c r="H62">
        <v>23.306313993174061</v>
      </c>
      <c r="I62">
        <v>0.2137308020477815</v>
      </c>
      <c r="J62">
        <v>0.1837045482081911</v>
      </c>
      <c r="K62">
        <f t="shared" si="0"/>
        <v>0.18780889621087318</v>
      </c>
      <c r="L62" s="3">
        <f t="shared" si="1"/>
        <v>0.46222498348441871</v>
      </c>
    </row>
    <row r="63" spans="1:12" x14ac:dyDescent="0.3">
      <c r="A63" t="s">
        <v>117</v>
      </c>
      <c r="B63" t="s">
        <v>93</v>
      </c>
      <c r="C63" t="s">
        <v>118</v>
      </c>
      <c r="D63">
        <v>23</v>
      </c>
      <c r="E63">
        <v>2388</v>
      </c>
      <c r="F63">
        <v>1.9221105527638189</v>
      </c>
      <c r="G63">
        <v>1.432160804020101</v>
      </c>
      <c r="H63">
        <v>41.645728643216081</v>
      </c>
      <c r="I63">
        <v>0.26476130653266328</v>
      </c>
      <c r="J63">
        <v>0.19488989623115571</v>
      </c>
      <c r="K63">
        <f t="shared" si="0"/>
        <v>8.0542986425339372E-2</v>
      </c>
      <c r="L63" s="3">
        <f t="shared" si="1"/>
        <v>0.42399518386835444</v>
      </c>
    </row>
    <row r="64" spans="1:12" x14ac:dyDescent="0.3">
      <c r="A64" t="s">
        <v>119</v>
      </c>
      <c r="B64" t="s">
        <v>93</v>
      </c>
      <c r="C64" t="s">
        <v>120</v>
      </c>
      <c r="D64">
        <v>25</v>
      </c>
      <c r="E64">
        <v>1817</v>
      </c>
      <c r="F64">
        <v>2.3775454045129329</v>
      </c>
      <c r="G64">
        <v>2.3775454045129329</v>
      </c>
      <c r="H64">
        <v>19.069895432030819</v>
      </c>
      <c r="I64">
        <v>0.43717611447440841</v>
      </c>
      <c r="J64">
        <v>0.1667885547605944</v>
      </c>
      <c r="K64">
        <f t="shared" si="0"/>
        <v>0.24935064935064932</v>
      </c>
      <c r="L64" s="3">
        <f t="shared" si="1"/>
        <v>0.2761561449808862</v>
      </c>
    </row>
    <row r="65" spans="1:12" x14ac:dyDescent="0.3">
      <c r="A65" t="s">
        <v>121</v>
      </c>
      <c r="B65" t="s">
        <v>93</v>
      </c>
      <c r="C65" t="s">
        <v>122</v>
      </c>
      <c r="D65">
        <v>22</v>
      </c>
      <c r="E65">
        <v>1694</v>
      </c>
      <c r="F65">
        <v>1.328217237308146</v>
      </c>
      <c r="G65">
        <v>2.550177095631641</v>
      </c>
      <c r="H65">
        <v>19.81700118063754</v>
      </c>
      <c r="I65">
        <v>0.102952774498229</v>
      </c>
      <c r="J65">
        <v>0.20777290608028329</v>
      </c>
      <c r="K65">
        <f t="shared" si="0"/>
        <v>0.19571045576407509</v>
      </c>
      <c r="L65" s="3">
        <f t="shared" si="1"/>
        <v>0.66866988815809991</v>
      </c>
    </row>
    <row r="66" spans="1:12" x14ac:dyDescent="0.3">
      <c r="A66" t="s">
        <v>123</v>
      </c>
      <c r="B66" t="s">
        <v>93</v>
      </c>
      <c r="C66" t="s">
        <v>96</v>
      </c>
      <c r="D66">
        <v>21</v>
      </c>
      <c r="E66">
        <v>1358</v>
      </c>
      <c r="F66">
        <v>2.31958762886598</v>
      </c>
      <c r="G66">
        <v>3.379970544918999</v>
      </c>
      <c r="H66">
        <v>16.104565537555231</v>
      </c>
      <c r="I66">
        <v>0.16152282768777609</v>
      </c>
      <c r="J66">
        <v>0.1610834951399116</v>
      </c>
      <c r="K66">
        <f t="shared" si="0"/>
        <v>0.35390946502057613</v>
      </c>
      <c r="L66" s="3">
        <f t="shared" si="1"/>
        <v>0.49931908875186687</v>
      </c>
    </row>
    <row r="67" spans="1:12" x14ac:dyDescent="0.3">
      <c r="A67" t="s">
        <v>124</v>
      </c>
      <c r="B67" t="s">
        <v>125</v>
      </c>
      <c r="C67" t="s">
        <v>126</v>
      </c>
      <c r="D67">
        <v>21</v>
      </c>
      <c r="E67">
        <v>2607</v>
      </c>
      <c r="F67">
        <v>1.829689298043728</v>
      </c>
      <c r="G67">
        <v>0.62140391254315308</v>
      </c>
      <c r="H67">
        <v>27.065592635212891</v>
      </c>
      <c r="I67">
        <v>0.240379746835443</v>
      </c>
      <c r="J67">
        <v>0.18410300817031069</v>
      </c>
      <c r="K67">
        <f t="shared" ref="K67:K110" si="2">(F67+G67)/H67</f>
        <v>9.0561224489795894E-2</v>
      </c>
      <c r="L67" s="3">
        <f t="shared" ref="L67:L110" si="3">(J67)/(I67+J67)</f>
        <v>0.43371139580880086</v>
      </c>
    </row>
    <row r="68" spans="1:12" x14ac:dyDescent="0.3">
      <c r="A68" t="s">
        <v>127</v>
      </c>
      <c r="B68" t="s">
        <v>125</v>
      </c>
      <c r="C68" t="s">
        <v>128</v>
      </c>
      <c r="D68">
        <v>22</v>
      </c>
      <c r="E68">
        <v>2664</v>
      </c>
      <c r="F68">
        <v>1.756756756756757</v>
      </c>
      <c r="G68">
        <v>3.6486486486486491</v>
      </c>
      <c r="H68">
        <v>28.61486486486486</v>
      </c>
      <c r="I68">
        <v>0.18306756756756759</v>
      </c>
      <c r="J68">
        <v>0.27604578885135128</v>
      </c>
      <c r="K68">
        <f t="shared" si="2"/>
        <v>0.18890200708382532</v>
      </c>
      <c r="L68" s="3">
        <f t="shared" si="3"/>
        <v>0.60125845826944924</v>
      </c>
    </row>
    <row r="69" spans="1:12" x14ac:dyDescent="0.3">
      <c r="A69" t="s">
        <v>129</v>
      </c>
      <c r="B69" t="s">
        <v>125</v>
      </c>
      <c r="C69" t="s">
        <v>130</v>
      </c>
      <c r="D69">
        <v>20</v>
      </c>
      <c r="E69">
        <v>1363</v>
      </c>
      <c r="F69">
        <v>3.565663976522377</v>
      </c>
      <c r="G69">
        <v>1.584739545121056</v>
      </c>
      <c r="H69">
        <v>16.969919295671311</v>
      </c>
      <c r="I69">
        <v>0.34459501100513568</v>
      </c>
      <c r="J69">
        <v>0.15116362626559049</v>
      </c>
      <c r="K69">
        <f t="shared" si="2"/>
        <v>0.30350194552529186</v>
      </c>
      <c r="L69" s="3">
        <f t="shared" si="3"/>
        <v>0.30491375217945493</v>
      </c>
    </row>
    <row r="70" spans="1:12" x14ac:dyDescent="0.3">
      <c r="A70" t="s">
        <v>131</v>
      </c>
      <c r="B70" t="s">
        <v>125</v>
      </c>
      <c r="C70" t="s">
        <v>132</v>
      </c>
      <c r="D70">
        <v>18</v>
      </c>
      <c r="E70">
        <v>2247</v>
      </c>
      <c r="F70">
        <v>2.723631508678237</v>
      </c>
      <c r="G70">
        <v>2.002670226969292</v>
      </c>
      <c r="H70">
        <v>28.678237650200259</v>
      </c>
      <c r="I70">
        <v>0.185146862483311</v>
      </c>
      <c r="J70">
        <v>0.3055912566088117</v>
      </c>
      <c r="K70">
        <f t="shared" si="2"/>
        <v>0.16480446927374304</v>
      </c>
      <c r="L70" s="3">
        <f t="shared" si="3"/>
        <v>0.62271758544896172</v>
      </c>
    </row>
    <row r="71" spans="1:12" x14ac:dyDescent="0.3">
      <c r="A71" t="s">
        <v>133</v>
      </c>
      <c r="B71" t="s">
        <v>125</v>
      </c>
      <c r="C71" t="s">
        <v>132</v>
      </c>
      <c r="D71">
        <v>33</v>
      </c>
      <c r="E71">
        <v>1713</v>
      </c>
      <c r="F71">
        <v>1.786339754816112</v>
      </c>
      <c r="G71">
        <v>2.416812609457093</v>
      </c>
      <c r="H71">
        <v>28.423817863397549</v>
      </c>
      <c r="I71">
        <v>0.202292469352014</v>
      </c>
      <c r="J71">
        <v>0.29097183309982477</v>
      </c>
      <c r="K71">
        <f t="shared" si="2"/>
        <v>0.14787430683918668</v>
      </c>
      <c r="L71" s="3">
        <f t="shared" si="3"/>
        <v>0.58989031165139827</v>
      </c>
    </row>
    <row r="72" spans="1:12" x14ac:dyDescent="0.3">
      <c r="A72" t="s">
        <v>134</v>
      </c>
      <c r="B72" t="s">
        <v>125</v>
      </c>
      <c r="C72" t="s">
        <v>135</v>
      </c>
      <c r="D72">
        <v>22</v>
      </c>
      <c r="E72">
        <v>2660</v>
      </c>
      <c r="F72">
        <v>1.3195488721804509</v>
      </c>
      <c r="G72">
        <v>1.387218045112782</v>
      </c>
      <c r="H72">
        <v>23.819548872180452</v>
      </c>
      <c r="I72">
        <v>0.1962169172932331</v>
      </c>
      <c r="J72">
        <v>0.1807282241729323</v>
      </c>
      <c r="K72">
        <f t="shared" si="2"/>
        <v>0.11363636363636363</v>
      </c>
      <c r="L72" s="3">
        <f t="shared" si="3"/>
        <v>0.47945497710879625</v>
      </c>
    </row>
    <row r="73" spans="1:12" x14ac:dyDescent="0.3">
      <c r="A73" t="s">
        <v>136</v>
      </c>
      <c r="B73" t="s">
        <v>125</v>
      </c>
      <c r="C73" t="s">
        <v>137</v>
      </c>
      <c r="D73">
        <v>24</v>
      </c>
      <c r="E73">
        <v>2241</v>
      </c>
      <c r="F73">
        <v>1.927710843373494</v>
      </c>
      <c r="G73">
        <v>1.5261044176706831</v>
      </c>
      <c r="H73">
        <v>19.598393574297191</v>
      </c>
      <c r="I73">
        <v>0.28698393574297187</v>
      </c>
      <c r="J73">
        <v>0.17795753815261039</v>
      </c>
      <c r="K73">
        <f t="shared" si="2"/>
        <v>0.17622950819672131</v>
      </c>
      <c r="L73" s="3">
        <f t="shared" si="3"/>
        <v>0.38275255735214653</v>
      </c>
    </row>
    <row r="74" spans="1:12" x14ac:dyDescent="0.3">
      <c r="A74" t="s">
        <v>138</v>
      </c>
      <c r="B74" t="s">
        <v>125</v>
      </c>
      <c r="C74" t="s">
        <v>139</v>
      </c>
      <c r="D74">
        <v>25</v>
      </c>
      <c r="E74">
        <v>2533</v>
      </c>
      <c r="F74">
        <v>2.84247927358863</v>
      </c>
      <c r="G74">
        <v>2.1673904461113298</v>
      </c>
      <c r="H74">
        <v>26.932491117252269</v>
      </c>
      <c r="I74">
        <v>0.2739261744966443</v>
      </c>
      <c r="J74">
        <v>0.19538974275562571</v>
      </c>
      <c r="K74">
        <f t="shared" si="2"/>
        <v>0.18601583113456463</v>
      </c>
      <c r="L74" s="3">
        <f t="shared" si="3"/>
        <v>0.41632882153152806</v>
      </c>
    </row>
    <row r="75" spans="1:12" x14ac:dyDescent="0.3">
      <c r="A75" t="s">
        <v>140</v>
      </c>
      <c r="B75" t="s">
        <v>125</v>
      </c>
      <c r="C75" t="s">
        <v>141</v>
      </c>
      <c r="D75">
        <v>21</v>
      </c>
      <c r="E75">
        <v>2945</v>
      </c>
      <c r="F75">
        <v>1.0390492359932091</v>
      </c>
      <c r="G75">
        <v>1.069609507640068</v>
      </c>
      <c r="H75">
        <v>25.242784380305601</v>
      </c>
      <c r="I75">
        <v>9.54305602716468E-2</v>
      </c>
      <c r="J75">
        <v>0.2230507338539898</v>
      </c>
      <c r="K75">
        <f t="shared" si="2"/>
        <v>8.3535108958837784E-2</v>
      </c>
      <c r="L75" s="3">
        <f t="shared" si="3"/>
        <v>0.70035740863951423</v>
      </c>
    </row>
    <row r="76" spans="1:12" x14ac:dyDescent="0.3">
      <c r="A76" t="s">
        <v>142</v>
      </c>
      <c r="B76" t="s">
        <v>125</v>
      </c>
      <c r="C76" t="s">
        <v>143</v>
      </c>
      <c r="D76">
        <v>22</v>
      </c>
      <c r="E76">
        <v>2047</v>
      </c>
      <c r="F76">
        <v>0.96726917440156324</v>
      </c>
      <c r="G76">
        <v>1.846604787493894</v>
      </c>
      <c r="H76">
        <v>21.719589643380559</v>
      </c>
      <c r="I76">
        <v>8.0507572056668295E-2</v>
      </c>
      <c r="J76">
        <v>0.1846988226184661</v>
      </c>
      <c r="K76">
        <f t="shared" si="2"/>
        <v>0.12955465587044535</v>
      </c>
      <c r="L76" s="3">
        <f t="shared" si="3"/>
        <v>0.69643427280369175</v>
      </c>
    </row>
    <row r="77" spans="1:12" x14ac:dyDescent="0.3">
      <c r="A77" t="s">
        <v>144</v>
      </c>
      <c r="B77" t="s">
        <v>145</v>
      </c>
      <c r="C77" t="s">
        <v>146</v>
      </c>
      <c r="D77">
        <v>25</v>
      </c>
      <c r="E77">
        <v>2188</v>
      </c>
      <c r="F77">
        <v>1.8921389396709321</v>
      </c>
      <c r="G77">
        <v>2.2623400365630721</v>
      </c>
      <c r="H77">
        <v>34.14076782449726</v>
      </c>
      <c r="I77">
        <v>0.14944606946983549</v>
      </c>
      <c r="J77">
        <v>0.36002875639853749</v>
      </c>
      <c r="K77">
        <f t="shared" si="2"/>
        <v>0.1216867469879518</v>
      </c>
      <c r="L77" s="3">
        <f t="shared" si="3"/>
        <v>0.70666643005351137</v>
      </c>
    </row>
    <row r="78" spans="1:12" x14ac:dyDescent="0.3">
      <c r="A78" t="s">
        <v>147</v>
      </c>
      <c r="B78" t="s">
        <v>145</v>
      </c>
      <c r="C78" t="s">
        <v>146</v>
      </c>
      <c r="D78">
        <v>24</v>
      </c>
      <c r="E78">
        <v>1910</v>
      </c>
      <c r="F78">
        <v>1.790575916230366</v>
      </c>
      <c r="G78">
        <v>3.0628272251308899</v>
      </c>
      <c r="H78">
        <v>21.298429319371731</v>
      </c>
      <c r="I78">
        <v>0.13576806282722509</v>
      </c>
      <c r="J78">
        <v>0.2143293681675392</v>
      </c>
      <c r="K78">
        <f t="shared" si="2"/>
        <v>0.2278761061946902</v>
      </c>
      <c r="L78" s="3">
        <f t="shared" si="3"/>
        <v>0.61219920282918183</v>
      </c>
    </row>
    <row r="79" spans="1:12" x14ac:dyDescent="0.3">
      <c r="A79" t="s">
        <v>148</v>
      </c>
      <c r="B79" t="s">
        <v>145</v>
      </c>
      <c r="C79" t="s">
        <v>149</v>
      </c>
      <c r="D79">
        <v>20</v>
      </c>
      <c r="E79">
        <v>1734</v>
      </c>
      <c r="F79">
        <v>2.335640138408305</v>
      </c>
      <c r="G79">
        <v>4.8788927335640144</v>
      </c>
      <c r="H79">
        <v>18.06228373702422</v>
      </c>
      <c r="I79">
        <v>0.20773183391003461</v>
      </c>
      <c r="J79">
        <v>0.2247818314878893</v>
      </c>
      <c r="K79">
        <f t="shared" si="2"/>
        <v>0.39942528735632193</v>
      </c>
      <c r="L79" s="3">
        <f t="shared" si="3"/>
        <v>0.51971035708451918</v>
      </c>
    </row>
    <row r="80" spans="1:12" x14ac:dyDescent="0.3">
      <c r="A80" t="s">
        <v>150</v>
      </c>
      <c r="B80" t="s">
        <v>145</v>
      </c>
      <c r="C80" t="s">
        <v>151</v>
      </c>
      <c r="D80">
        <v>21</v>
      </c>
      <c r="E80">
        <v>2838</v>
      </c>
      <c r="F80">
        <v>3.0761099365750528</v>
      </c>
      <c r="G80">
        <v>3.551797040169133</v>
      </c>
      <c r="H80">
        <v>28.921775898520089</v>
      </c>
      <c r="I80">
        <v>0.2590782241014799</v>
      </c>
      <c r="J80">
        <v>0.30530515655391111</v>
      </c>
      <c r="K80">
        <f t="shared" si="2"/>
        <v>0.2291666666666666</v>
      </c>
      <c r="L80" s="3">
        <f t="shared" si="3"/>
        <v>0.5409534848446016</v>
      </c>
    </row>
    <row r="81" spans="1:12" x14ac:dyDescent="0.3">
      <c r="A81" t="s">
        <v>152</v>
      </c>
      <c r="B81" t="s">
        <v>145</v>
      </c>
      <c r="C81" t="s">
        <v>151</v>
      </c>
      <c r="D81">
        <v>23</v>
      </c>
      <c r="E81">
        <v>2098</v>
      </c>
      <c r="F81">
        <v>3.131553860819829</v>
      </c>
      <c r="G81">
        <v>4.5042897998093423</v>
      </c>
      <c r="H81">
        <v>26.210676835081031</v>
      </c>
      <c r="I81">
        <v>0.33318017159199231</v>
      </c>
      <c r="J81">
        <v>0.22368811615824591</v>
      </c>
      <c r="K81">
        <f t="shared" si="2"/>
        <v>0.29132569558101473</v>
      </c>
      <c r="L81" s="3">
        <f t="shared" si="3"/>
        <v>0.40168944987323929</v>
      </c>
    </row>
    <row r="82" spans="1:12" x14ac:dyDescent="0.3">
      <c r="A82" t="s">
        <v>153</v>
      </c>
      <c r="B82" t="s">
        <v>145</v>
      </c>
      <c r="C82" t="s">
        <v>154</v>
      </c>
      <c r="D82">
        <v>26</v>
      </c>
      <c r="E82">
        <v>2797</v>
      </c>
      <c r="F82">
        <v>1.3836253128351801</v>
      </c>
      <c r="G82">
        <v>1.3836253128351801</v>
      </c>
      <c r="H82">
        <v>27.511619592420448</v>
      </c>
      <c r="I82">
        <v>0.1108283875580979</v>
      </c>
      <c r="J82">
        <v>0.1559118211297818</v>
      </c>
      <c r="K82">
        <f t="shared" si="2"/>
        <v>0.1005847953216374</v>
      </c>
      <c r="L82" s="3">
        <f t="shared" si="3"/>
        <v>0.58450813207625041</v>
      </c>
    </row>
    <row r="83" spans="1:12" x14ac:dyDescent="0.3">
      <c r="A83" t="s">
        <v>155</v>
      </c>
      <c r="B83" t="s">
        <v>145</v>
      </c>
      <c r="C83" t="s">
        <v>156</v>
      </c>
      <c r="D83">
        <v>32</v>
      </c>
      <c r="E83">
        <v>2213</v>
      </c>
      <c r="F83">
        <v>1.992769995481247</v>
      </c>
      <c r="G83">
        <v>2.968820605512879</v>
      </c>
      <c r="H83">
        <v>25.417984636240401</v>
      </c>
      <c r="I83">
        <v>9.9565295978309903E-2</v>
      </c>
      <c r="J83">
        <v>0.19906185521915939</v>
      </c>
      <c r="K83">
        <f t="shared" si="2"/>
        <v>0.19519999999999998</v>
      </c>
      <c r="L83" s="3">
        <f t="shared" si="3"/>
        <v>0.66658994140666183</v>
      </c>
    </row>
    <row r="84" spans="1:12" x14ac:dyDescent="0.3">
      <c r="A84" t="s">
        <v>157</v>
      </c>
      <c r="B84" t="s">
        <v>145</v>
      </c>
      <c r="C84" t="s">
        <v>158</v>
      </c>
      <c r="D84">
        <v>23</v>
      </c>
      <c r="E84">
        <v>2167</v>
      </c>
      <c r="F84">
        <v>2.1596677434240892</v>
      </c>
      <c r="G84">
        <v>1.7028149515459159</v>
      </c>
      <c r="H84">
        <v>31.149053991693581</v>
      </c>
      <c r="I84">
        <v>0.16512321181356709</v>
      </c>
      <c r="J84">
        <v>0.174788113290263</v>
      </c>
      <c r="K84">
        <f t="shared" si="2"/>
        <v>0.12400000000000003</v>
      </c>
      <c r="L84" s="3">
        <f t="shared" si="3"/>
        <v>0.51421679826899502</v>
      </c>
    </row>
    <row r="85" spans="1:12" x14ac:dyDescent="0.3">
      <c r="A85" t="s">
        <v>159</v>
      </c>
      <c r="B85" t="s">
        <v>145</v>
      </c>
      <c r="C85" t="s">
        <v>154</v>
      </c>
      <c r="D85">
        <v>27</v>
      </c>
      <c r="E85">
        <v>1611</v>
      </c>
      <c r="F85">
        <v>3.016759776536313</v>
      </c>
      <c r="G85">
        <v>2.8491620111731839</v>
      </c>
      <c r="H85">
        <v>27.094972067039109</v>
      </c>
      <c r="I85">
        <v>0.44856424581005577</v>
      </c>
      <c r="J85">
        <v>0.2317397234636871</v>
      </c>
      <c r="K85">
        <f t="shared" si="2"/>
        <v>0.21649484536082472</v>
      </c>
      <c r="L85" s="3">
        <f t="shared" si="3"/>
        <v>0.34064143960688681</v>
      </c>
    </row>
    <row r="86" spans="1:12" x14ac:dyDescent="0.3">
      <c r="A86" t="s">
        <v>160</v>
      </c>
      <c r="B86" t="s">
        <v>104</v>
      </c>
      <c r="C86" t="s">
        <v>161</v>
      </c>
      <c r="D86">
        <v>20</v>
      </c>
      <c r="E86">
        <v>2686</v>
      </c>
      <c r="F86">
        <v>2.680565897244974</v>
      </c>
      <c r="G86">
        <v>3.9873417721518978</v>
      </c>
      <c r="H86">
        <v>27.07371556217424</v>
      </c>
      <c r="I86">
        <v>0.36616865227103501</v>
      </c>
      <c r="J86">
        <v>0.31069699813849588</v>
      </c>
      <c r="K86">
        <f t="shared" si="2"/>
        <v>0.24628712871287123</v>
      </c>
      <c r="L86" s="3">
        <f t="shared" si="3"/>
        <v>0.45902314285044854</v>
      </c>
    </row>
    <row r="87" spans="1:12" x14ac:dyDescent="0.3">
      <c r="A87" t="s">
        <v>162</v>
      </c>
      <c r="B87" t="s">
        <v>104</v>
      </c>
      <c r="C87" t="s">
        <v>161</v>
      </c>
      <c r="D87">
        <v>22</v>
      </c>
      <c r="E87">
        <v>1569</v>
      </c>
      <c r="F87">
        <v>2.810707456978967</v>
      </c>
      <c r="G87">
        <v>1.434034416826004</v>
      </c>
      <c r="H87">
        <v>33.556405353728493</v>
      </c>
      <c r="I87">
        <v>0.28287762906309749</v>
      </c>
      <c r="J87">
        <v>0.21963432390057361</v>
      </c>
      <c r="K87">
        <f t="shared" si="2"/>
        <v>0.12649572649572646</v>
      </c>
      <c r="L87" s="3">
        <f t="shared" si="3"/>
        <v>0.43707283499473687</v>
      </c>
    </row>
    <row r="88" spans="1:12" x14ac:dyDescent="0.3">
      <c r="A88" t="s">
        <v>163</v>
      </c>
      <c r="B88" t="s">
        <v>104</v>
      </c>
      <c r="C88" t="s">
        <v>164</v>
      </c>
      <c r="D88">
        <v>22</v>
      </c>
      <c r="E88">
        <v>2044</v>
      </c>
      <c r="F88">
        <v>1.5410958904109591</v>
      </c>
      <c r="G88">
        <v>1.6291585127201571</v>
      </c>
      <c r="H88">
        <v>21.046966731898241</v>
      </c>
      <c r="I88">
        <v>0.1474520547945205</v>
      </c>
      <c r="J88">
        <v>0.20968300699608611</v>
      </c>
      <c r="K88">
        <f t="shared" si="2"/>
        <v>0.15062761506276151</v>
      </c>
      <c r="L88" s="3">
        <f t="shared" si="3"/>
        <v>0.58712523476349754</v>
      </c>
    </row>
    <row r="89" spans="1:12" x14ac:dyDescent="0.3">
      <c r="A89" t="s">
        <v>165</v>
      </c>
      <c r="B89" t="s">
        <v>104</v>
      </c>
      <c r="C89" t="s">
        <v>164</v>
      </c>
      <c r="D89">
        <v>22</v>
      </c>
      <c r="E89">
        <v>1448</v>
      </c>
      <c r="F89">
        <v>2.8591160220994478</v>
      </c>
      <c r="G89">
        <v>3.1077348066298338</v>
      </c>
      <c r="H89">
        <v>21.381215469613259</v>
      </c>
      <c r="I89">
        <v>0.26766298342541439</v>
      </c>
      <c r="J89">
        <v>0.1627432533149171</v>
      </c>
      <c r="K89">
        <f t="shared" si="2"/>
        <v>0.27906976744186046</v>
      </c>
      <c r="L89" s="3">
        <f t="shared" si="3"/>
        <v>0.37811546260911122</v>
      </c>
    </row>
    <row r="90" spans="1:12" x14ac:dyDescent="0.3">
      <c r="A90" t="s">
        <v>166</v>
      </c>
      <c r="B90" t="s">
        <v>104</v>
      </c>
      <c r="C90" t="s">
        <v>164</v>
      </c>
      <c r="D90">
        <v>21</v>
      </c>
      <c r="E90">
        <v>1357</v>
      </c>
      <c r="F90">
        <v>1.658069270449521</v>
      </c>
      <c r="G90">
        <v>3.382461311717023</v>
      </c>
      <c r="H90">
        <v>20.825350036845979</v>
      </c>
      <c r="I90">
        <v>7.7458364038319794E-2</v>
      </c>
      <c r="J90">
        <v>0.22034482991893881</v>
      </c>
      <c r="K90">
        <f t="shared" si="2"/>
        <v>0.24203821656050961</v>
      </c>
      <c r="L90" s="3">
        <f t="shared" si="3"/>
        <v>0.73990082843289851</v>
      </c>
    </row>
    <row r="91" spans="1:12" x14ac:dyDescent="0.3">
      <c r="A91" t="s">
        <v>167</v>
      </c>
      <c r="B91" t="s">
        <v>104</v>
      </c>
      <c r="C91" t="s">
        <v>168</v>
      </c>
      <c r="D91">
        <v>24</v>
      </c>
      <c r="E91">
        <v>2501</v>
      </c>
      <c r="F91">
        <v>2.1591363454618162</v>
      </c>
      <c r="G91">
        <v>2.8788484606157541</v>
      </c>
      <c r="H91">
        <v>20.367852858856459</v>
      </c>
      <c r="I91">
        <v>0.2075685725709715</v>
      </c>
      <c r="J91">
        <v>0.18679945717712909</v>
      </c>
      <c r="K91">
        <f t="shared" si="2"/>
        <v>0.24734982332155483</v>
      </c>
      <c r="L91" s="3">
        <f t="shared" si="3"/>
        <v>0.47366785105893533</v>
      </c>
    </row>
    <row r="92" spans="1:12" x14ac:dyDescent="0.3">
      <c r="A92" t="s">
        <v>169</v>
      </c>
      <c r="B92" t="s">
        <v>104</v>
      </c>
      <c r="C92" t="s">
        <v>170</v>
      </c>
      <c r="D92">
        <v>22</v>
      </c>
      <c r="E92">
        <v>2154</v>
      </c>
      <c r="F92">
        <v>2.6323119777158772</v>
      </c>
      <c r="G92">
        <v>4.9721448467966578</v>
      </c>
      <c r="H92">
        <v>24.359331476323121</v>
      </c>
      <c r="I92">
        <v>0.18562395543175489</v>
      </c>
      <c r="J92">
        <v>0.35132859818941509</v>
      </c>
      <c r="K92">
        <f t="shared" si="2"/>
        <v>0.31217838765008576</v>
      </c>
      <c r="L92" s="3">
        <f t="shared" si="3"/>
        <v>0.65430101006146613</v>
      </c>
    </row>
    <row r="93" spans="1:12" x14ac:dyDescent="0.3">
      <c r="A93" t="s">
        <v>171</v>
      </c>
      <c r="B93" t="s">
        <v>104</v>
      </c>
      <c r="C93" t="s">
        <v>172</v>
      </c>
      <c r="D93">
        <v>23</v>
      </c>
      <c r="E93">
        <v>1890</v>
      </c>
      <c r="F93">
        <v>2.8095238095238089</v>
      </c>
      <c r="G93">
        <v>3.666666666666667</v>
      </c>
      <c r="H93">
        <v>16.523809523809529</v>
      </c>
      <c r="I93">
        <v>0.16272380952380949</v>
      </c>
      <c r="J93">
        <v>0.20612179380952381</v>
      </c>
      <c r="K93">
        <f t="shared" si="2"/>
        <v>0.3919308357348702</v>
      </c>
      <c r="L93" s="3">
        <f t="shared" si="3"/>
        <v>0.55882947213348599</v>
      </c>
    </row>
    <row r="94" spans="1:12" x14ac:dyDescent="0.3">
      <c r="A94" t="s">
        <v>173</v>
      </c>
      <c r="B94" t="s">
        <v>104</v>
      </c>
      <c r="C94" t="s">
        <v>172</v>
      </c>
      <c r="D94">
        <v>23</v>
      </c>
      <c r="E94">
        <v>1355</v>
      </c>
      <c r="F94">
        <v>2.9889298892988929</v>
      </c>
      <c r="G94">
        <v>0.66420664206642066</v>
      </c>
      <c r="H94">
        <v>16.7380073800738</v>
      </c>
      <c r="I94">
        <v>0.25628413284132839</v>
      </c>
      <c r="J94">
        <v>0.15305560870848711</v>
      </c>
      <c r="K94">
        <f t="shared" si="2"/>
        <v>0.21825396825396826</v>
      </c>
      <c r="L94" s="3">
        <f t="shared" si="3"/>
        <v>0.37390849989057479</v>
      </c>
    </row>
    <row r="95" spans="1:12" x14ac:dyDescent="0.3">
      <c r="A95" t="s">
        <v>174</v>
      </c>
      <c r="B95" t="s">
        <v>104</v>
      </c>
      <c r="C95" t="s">
        <v>175</v>
      </c>
      <c r="D95">
        <v>22</v>
      </c>
      <c r="E95">
        <v>2555</v>
      </c>
      <c r="F95">
        <v>1.444227005870842</v>
      </c>
      <c r="G95">
        <v>1.444227005870842</v>
      </c>
      <c r="H95">
        <v>34.696673189823883</v>
      </c>
      <c r="I95">
        <v>0.12221682974559681</v>
      </c>
      <c r="J95">
        <v>0.26474900019569469</v>
      </c>
      <c r="K95">
        <f t="shared" si="2"/>
        <v>8.3248730964467013E-2</v>
      </c>
      <c r="L95" s="3">
        <f t="shared" si="3"/>
        <v>0.68416635193826048</v>
      </c>
    </row>
    <row r="96" spans="1:12" x14ac:dyDescent="0.3">
      <c r="A96" t="s">
        <v>176</v>
      </c>
      <c r="B96" t="s">
        <v>104</v>
      </c>
      <c r="C96" t="s">
        <v>175</v>
      </c>
      <c r="D96">
        <v>24</v>
      </c>
      <c r="E96">
        <v>2553</v>
      </c>
      <c r="F96">
        <v>2.7144535840188011</v>
      </c>
      <c r="G96">
        <v>3.2784958871915402</v>
      </c>
      <c r="H96">
        <v>23.160987074030551</v>
      </c>
      <c r="I96">
        <v>0.239171562867215</v>
      </c>
      <c r="J96">
        <v>0.39258428672150408</v>
      </c>
      <c r="K96">
        <f t="shared" si="2"/>
        <v>0.25875190258751907</v>
      </c>
      <c r="L96" s="3">
        <f t="shared" si="3"/>
        <v>0.6214177311964445</v>
      </c>
    </row>
    <row r="97" spans="1:12" x14ac:dyDescent="0.3">
      <c r="A97" t="s">
        <v>177</v>
      </c>
      <c r="B97" t="s">
        <v>104</v>
      </c>
      <c r="C97" t="s">
        <v>175</v>
      </c>
      <c r="D97">
        <v>23</v>
      </c>
      <c r="E97">
        <v>2058</v>
      </c>
      <c r="F97">
        <v>1.661807580174927</v>
      </c>
      <c r="G97">
        <v>2.055393586005831</v>
      </c>
      <c r="H97">
        <v>25.233236151603499</v>
      </c>
      <c r="I97">
        <v>9.9450437317784204E-2</v>
      </c>
      <c r="J97">
        <v>0.1725768857142857</v>
      </c>
      <c r="K97">
        <f t="shared" si="2"/>
        <v>0.14731369150779897</v>
      </c>
      <c r="L97" s="3">
        <f t="shared" si="3"/>
        <v>0.63441011656737234</v>
      </c>
    </row>
    <row r="98" spans="1:12" x14ac:dyDescent="0.3">
      <c r="A98" t="s">
        <v>178</v>
      </c>
      <c r="B98" t="s">
        <v>104</v>
      </c>
      <c r="C98" t="s">
        <v>175</v>
      </c>
      <c r="D98">
        <v>20</v>
      </c>
      <c r="E98">
        <v>1419</v>
      </c>
      <c r="F98">
        <v>2.0930232558139541</v>
      </c>
      <c r="G98">
        <v>2.2198731501057081</v>
      </c>
      <c r="H98">
        <v>19.154334038054969</v>
      </c>
      <c r="I98">
        <v>0.13782241014799149</v>
      </c>
      <c r="J98">
        <v>0.21270526871035941</v>
      </c>
      <c r="K98">
        <f t="shared" si="2"/>
        <v>0.22516556291390732</v>
      </c>
      <c r="L98" s="3">
        <f t="shared" si="3"/>
        <v>0.6068144729772228</v>
      </c>
    </row>
    <row r="99" spans="1:12" x14ac:dyDescent="0.3">
      <c r="A99" t="s">
        <v>179</v>
      </c>
      <c r="B99" t="s">
        <v>104</v>
      </c>
      <c r="C99" t="s">
        <v>180</v>
      </c>
      <c r="D99">
        <v>24</v>
      </c>
      <c r="E99">
        <v>1946</v>
      </c>
      <c r="F99">
        <v>3.191161356628982</v>
      </c>
      <c r="G99">
        <v>1.341212744090442</v>
      </c>
      <c r="H99">
        <v>26.639260020554989</v>
      </c>
      <c r="I99">
        <v>0.27184994861253847</v>
      </c>
      <c r="J99">
        <v>0.27678086223021581</v>
      </c>
      <c r="K99">
        <f t="shared" si="2"/>
        <v>0.17013888888888884</v>
      </c>
      <c r="L99" s="3">
        <f t="shared" si="3"/>
        <v>0.50449383585484653</v>
      </c>
    </row>
    <row r="100" spans="1:12" x14ac:dyDescent="0.3">
      <c r="A100" t="s">
        <v>181</v>
      </c>
      <c r="B100" t="s">
        <v>104</v>
      </c>
      <c r="C100" t="s">
        <v>182</v>
      </c>
      <c r="D100">
        <v>22</v>
      </c>
      <c r="E100">
        <v>2042</v>
      </c>
      <c r="F100">
        <v>1.4544564152791379</v>
      </c>
      <c r="G100">
        <v>0.88148873653281101</v>
      </c>
      <c r="H100">
        <v>25.47502448579824</v>
      </c>
      <c r="I100">
        <v>0.15127228207639559</v>
      </c>
      <c r="J100">
        <v>0.19898844285014691</v>
      </c>
      <c r="K100">
        <f t="shared" si="2"/>
        <v>9.1695501730103796E-2</v>
      </c>
      <c r="L100" s="3">
        <f t="shared" si="3"/>
        <v>0.56811520301592267</v>
      </c>
    </row>
    <row r="101" spans="1:12" x14ac:dyDescent="0.3">
      <c r="A101" t="s">
        <v>183</v>
      </c>
      <c r="B101" t="s">
        <v>104</v>
      </c>
      <c r="C101" t="s">
        <v>184</v>
      </c>
      <c r="D101">
        <v>26</v>
      </c>
      <c r="E101">
        <v>2400</v>
      </c>
      <c r="F101">
        <v>2.4375</v>
      </c>
      <c r="G101">
        <v>2.7</v>
      </c>
      <c r="H101">
        <v>16.649999999999999</v>
      </c>
      <c r="I101">
        <v>0.20750250000000001</v>
      </c>
      <c r="J101">
        <v>0.21288352387500001</v>
      </c>
      <c r="K101">
        <f t="shared" si="2"/>
        <v>0.30855855855855857</v>
      </c>
      <c r="L101" s="3">
        <f t="shared" si="3"/>
        <v>0.50640009844451916</v>
      </c>
    </row>
    <row r="102" spans="1:12" x14ac:dyDescent="0.3">
      <c r="A102" t="s">
        <v>185</v>
      </c>
      <c r="B102" t="s">
        <v>104</v>
      </c>
      <c r="C102" t="s">
        <v>186</v>
      </c>
      <c r="D102">
        <v>23</v>
      </c>
      <c r="E102">
        <v>1827</v>
      </c>
      <c r="F102">
        <v>2.1182266009852211</v>
      </c>
      <c r="G102">
        <v>0.88669950738916259</v>
      </c>
      <c r="H102">
        <v>26.108374384236448</v>
      </c>
      <c r="I102">
        <v>0.1740837438423645</v>
      </c>
      <c r="J102">
        <v>0.17480954876847291</v>
      </c>
      <c r="K102">
        <f t="shared" si="2"/>
        <v>0.1150943396226415</v>
      </c>
      <c r="L102" s="3">
        <f t="shared" si="3"/>
        <v>0.50104015316642669</v>
      </c>
    </row>
    <row r="103" spans="1:12" x14ac:dyDescent="0.3">
      <c r="A103" t="s">
        <v>187</v>
      </c>
      <c r="B103" t="s">
        <v>104</v>
      </c>
      <c r="C103" t="s">
        <v>188</v>
      </c>
      <c r="D103">
        <v>22</v>
      </c>
      <c r="E103">
        <v>3060</v>
      </c>
      <c r="F103">
        <v>1</v>
      </c>
      <c r="G103">
        <v>1.0588235294117649</v>
      </c>
      <c r="H103">
        <v>31.67647058823529</v>
      </c>
      <c r="I103">
        <v>5.2105882352941099E-2</v>
      </c>
      <c r="J103">
        <v>0.1788253326470588</v>
      </c>
      <c r="K103">
        <f t="shared" si="2"/>
        <v>6.4995357474466123E-2</v>
      </c>
      <c r="L103" s="3">
        <f t="shared" si="3"/>
        <v>0.77436622263066024</v>
      </c>
    </row>
    <row r="104" spans="1:12" x14ac:dyDescent="0.3">
      <c r="A104" t="s">
        <v>189</v>
      </c>
      <c r="B104" t="s">
        <v>104</v>
      </c>
      <c r="C104" t="s">
        <v>188</v>
      </c>
      <c r="D104">
        <v>21</v>
      </c>
      <c r="E104">
        <v>2644</v>
      </c>
      <c r="F104">
        <v>2.1104387291981852</v>
      </c>
      <c r="G104">
        <v>1.8381240544629349</v>
      </c>
      <c r="H104">
        <v>21.478819969742808</v>
      </c>
      <c r="I104">
        <v>0.18047655068078661</v>
      </c>
      <c r="J104">
        <v>0.29280032904689862</v>
      </c>
      <c r="K104">
        <f t="shared" si="2"/>
        <v>0.18383518225039627</v>
      </c>
      <c r="L104" s="3">
        <f t="shared" si="3"/>
        <v>0.61866603163748568</v>
      </c>
    </row>
    <row r="105" spans="1:12" x14ac:dyDescent="0.3">
      <c r="A105" t="s">
        <v>190</v>
      </c>
      <c r="B105" t="s">
        <v>104</v>
      </c>
      <c r="C105" t="s">
        <v>188</v>
      </c>
      <c r="D105">
        <v>21</v>
      </c>
      <c r="E105">
        <v>2071</v>
      </c>
      <c r="F105">
        <v>2.0859488169966198</v>
      </c>
      <c r="G105">
        <v>3.6069531627233218</v>
      </c>
      <c r="H105">
        <v>23.16272332206664</v>
      </c>
      <c r="I105">
        <v>0.17975229357798159</v>
      </c>
      <c r="J105">
        <v>0.28537359618541769</v>
      </c>
      <c r="K105">
        <f t="shared" si="2"/>
        <v>0.24577861163227011</v>
      </c>
      <c r="L105" s="3">
        <f t="shared" si="3"/>
        <v>0.6135405542155089</v>
      </c>
    </row>
    <row r="106" spans="1:12" x14ac:dyDescent="0.3">
      <c r="A106" t="s">
        <v>191</v>
      </c>
      <c r="B106" t="s">
        <v>104</v>
      </c>
      <c r="C106" t="s">
        <v>192</v>
      </c>
      <c r="D106">
        <v>25</v>
      </c>
      <c r="E106">
        <v>2204</v>
      </c>
      <c r="F106">
        <v>0.57168784029038111</v>
      </c>
      <c r="G106">
        <v>1.225045372050817</v>
      </c>
      <c r="H106">
        <v>34.709618874773142</v>
      </c>
      <c r="I106">
        <v>3.4133847549909203E-2</v>
      </c>
      <c r="J106">
        <v>0.1811600362976406</v>
      </c>
      <c r="K106">
        <f t="shared" si="2"/>
        <v>5.1764705882352949E-2</v>
      </c>
      <c r="L106" s="3">
        <f t="shared" si="3"/>
        <v>0.84145463428919576</v>
      </c>
    </row>
    <row r="107" spans="1:12" x14ac:dyDescent="0.3">
      <c r="A107" t="s">
        <v>193</v>
      </c>
      <c r="B107" t="s">
        <v>104</v>
      </c>
      <c r="C107" t="s">
        <v>192</v>
      </c>
      <c r="D107">
        <v>25</v>
      </c>
      <c r="E107">
        <v>2145</v>
      </c>
      <c r="F107">
        <v>3.818181818181817</v>
      </c>
      <c r="G107">
        <v>1.8041958041958039</v>
      </c>
      <c r="H107">
        <v>30.25174825174825</v>
      </c>
      <c r="I107">
        <v>0.54329790209790196</v>
      </c>
      <c r="J107">
        <v>0.31097362237762238</v>
      </c>
      <c r="K107">
        <f t="shared" si="2"/>
        <v>0.18585298196948677</v>
      </c>
      <c r="L107" s="3">
        <f t="shared" si="3"/>
        <v>0.36402199238531691</v>
      </c>
    </row>
    <row r="108" spans="1:12" x14ac:dyDescent="0.3">
      <c r="A108" t="s">
        <v>194</v>
      </c>
      <c r="B108" t="s">
        <v>104</v>
      </c>
      <c r="C108" t="s">
        <v>192</v>
      </c>
      <c r="D108">
        <v>27</v>
      </c>
      <c r="E108">
        <v>1496</v>
      </c>
      <c r="F108">
        <v>2.5267379679144391</v>
      </c>
      <c r="G108">
        <v>3.1283422459893049</v>
      </c>
      <c r="H108">
        <v>29.117647058823529</v>
      </c>
      <c r="I108">
        <v>0.28607486631016038</v>
      </c>
      <c r="J108">
        <v>0.29792296443850269</v>
      </c>
      <c r="K108">
        <f t="shared" si="2"/>
        <v>0.1942148760330579</v>
      </c>
      <c r="L108" s="3">
        <f t="shared" si="3"/>
        <v>0.51014395730987006</v>
      </c>
    </row>
    <row r="109" spans="1:12" x14ac:dyDescent="0.3">
      <c r="A109" t="s">
        <v>195</v>
      </c>
      <c r="B109" t="s">
        <v>104</v>
      </c>
      <c r="C109" t="s">
        <v>196</v>
      </c>
      <c r="D109">
        <v>23</v>
      </c>
      <c r="E109">
        <v>2441</v>
      </c>
      <c r="F109">
        <v>1.990987300286768</v>
      </c>
      <c r="G109">
        <v>1.659156083572306</v>
      </c>
      <c r="H109">
        <v>20.131093814010651</v>
      </c>
      <c r="I109">
        <v>0.24543342892257269</v>
      </c>
      <c r="J109">
        <v>0.23923126013928711</v>
      </c>
      <c r="K109">
        <f t="shared" si="2"/>
        <v>0.18131868131868134</v>
      </c>
      <c r="L109" s="3">
        <f t="shared" si="3"/>
        <v>0.49360158793980763</v>
      </c>
    </row>
    <row r="110" spans="1:12" x14ac:dyDescent="0.3">
      <c r="A110" t="s">
        <v>197</v>
      </c>
      <c r="B110" t="s">
        <v>104</v>
      </c>
      <c r="C110" t="s">
        <v>196</v>
      </c>
      <c r="D110">
        <v>23</v>
      </c>
      <c r="E110">
        <v>2059</v>
      </c>
      <c r="F110">
        <v>3.103448275862069</v>
      </c>
      <c r="G110">
        <v>2.2292374939290922</v>
      </c>
      <c r="H110">
        <v>20.849927149101511</v>
      </c>
      <c r="I110">
        <v>0.25249830014570168</v>
      </c>
      <c r="J110">
        <v>0.17132975449247201</v>
      </c>
      <c r="K110">
        <f t="shared" si="2"/>
        <v>0.25576519916142554</v>
      </c>
      <c r="L110" s="3">
        <f t="shared" si="3"/>
        <v>0.40424354314802957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Daye Fubara</cp:lastModifiedBy>
  <dcterms:created xsi:type="dcterms:W3CDTF">2026-05-28T16:44:22Z</dcterms:created>
  <dcterms:modified xsi:type="dcterms:W3CDTF">2026-05-28T16:51:05Z</dcterms:modified>
</cp:coreProperties>
</file>